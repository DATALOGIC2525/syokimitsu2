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_Sawae\Desktop\"/>
    </mc:Choice>
  </mc:AlternateContent>
  <xr:revisionPtr revIDLastSave="0" documentId="13_ncr:8001_{E8F94309-2BAE-436C-850E-F7ED296E76D3}" xr6:coauthVersionLast="47" xr6:coauthVersionMax="47" xr10:uidLastSave="{00000000-0000-0000-0000-000000000000}"/>
  <bookViews>
    <workbookView xWindow="-120" yWindow="-120" windowWidth="29040" windowHeight="15720" activeTab="1" xr2:uid="{9C318512-AA48-4C82-9A59-5EB9D1A82FD5}"/>
  </bookViews>
  <sheets>
    <sheet name="テンプレ(旧)" sheetId="3" r:id="rId1"/>
    <sheet name="テンプレ (2)" sheetId="4" r:id="rId2"/>
    <sheet name="見積書" sheetId="1" r:id="rId3"/>
    <sheet name="【参考】保守料金価格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32" i="4"/>
  <c r="F2" i="4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32" i="3"/>
  <c r="F2" i="3"/>
  <c r="F2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3" i="4"/>
  <c r="F34" i="4"/>
  <c r="F33" i="3"/>
  <c r="F34" i="3"/>
</calcChain>
</file>

<file path=xl/sharedStrings.xml><?xml version="1.0" encoding="utf-8"?>
<sst xmlns="http://schemas.openxmlformats.org/spreadsheetml/2006/main" count="109" uniqueCount="47">
  <si>
    <t>御　見　積　書</t>
    <rPh sb="0" eb="1">
      <t>オ</t>
    </rPh>
    <rPh sb="2" eb="7">
      <t>オミツモリショ</t>
    </rPh>
    <phoneticPr fontId="2"/>
  </si>
  <si>
    <t>品　　　　名</t>
    <rPh sb="0" eb="6">
      <t>ヒンメイ</t>
    </rPh>
    <phoneticPr fontId="2"/>
  </si>
  <si>
    <t>数　量</t>
    <rPh sb="0" eb="3">
      <t>スウリョウ</t>
    </rPh>
    <phoneticPr fontId="2"/>
  </si>
  <si>
    <t>単　　価</t>
    <rPh sb="0" eb="4">
      <t>タンカ</t>
    </rPh>
    <phoneticPr fontId="2"/>
  </si>
  <si>
    <t>金　　額</t>
    <rPh sb="0" eb="4">
      <t>キンガク</t>
    </rPh>
    <phoneticPr fontId="2"/>
  </si>
  <si>
    <t>納入場所</t>
    <rPh sb="0" eb="2">
      <t>ノウニュウ</t>
    </rPh>
    <rPh sb="2" eb="4">
      <t>バショ</t>
    </rPh>
    <phoneticPr fontId="2"/>
  </si>
  <si>
    <t>見積書有効期限</t>
    <rPh sb="0" eb="3">
      <t>ミツモリショ</t>
    </rPh>
    <rPh sb="3" eb="5">
      <t>ユウコウ</t>
    </rPh>
    <rPh sb="5" eb="7">
      <t>キゲン</t>
    </rPh>
    <phoneticPr fontId="2"/>
  </si>
  <si>
    <t>納入期限</t>
    <rPh sb="0" eb="2">
      <t>ノウニュウ</t>
    </rPh>
    <rPh sb="2" eb="4">
      <t>キゲン</t>
    </rPh>
    <phoneticPr fontId="2"/>
  </si>
  <si>
    <t>支払条件</t>
    <rPh sb="0" eb="2">
      <t>シハライ</t>
    </rPh>
    <rPh sb="2" eb="4">
      <t>ジョウケン</t>
    </rPh>
    <phoneticPr fontId="2"/>
  </si>
  <si>
    <t>小　　　計</t>
    <rPh sb="0" eb="1">
      <t>ショウ</t>
    </rPh>
    <rPh sb="4" eb="5">
      <t>ケイ</t>
    </rPh>
    <phoneticPr fontId="2"/>
  </si>
  <si>
    <t>合　　　計</t>
    <rPh sb="0" eb="5">
      <t>ゴウケイ</t>
    </rPh>
    <phoneticPr fontId="2"/>
  </si>
  <si>
    <t>備　　考</t>
    <rPh sb="0" eb="4">
      <t>ビコウ</t>
    </rPh>
    <phoneticPr fontId="2"/>
  </si>
  <si>
    <t>貴社事務所</t>
    <rPh sb="0" eb="2">
      <t>キシャ</t>
    </rPh>
    <rPh sb="2" eb="4">
      <t>ジム</t>
    </rPh>
    <rPh sb="4" eb="5">
      <t>ショ</t>
    </rPh>
    <phoneticPr fontId="2"/>
  </si>
  <si>
    <t>１ヶ月</t>
    <rPh sb="2" eb="3">
      <t>ゲツ</t>
    </rPh>
    <phoneticPr fontId="2"/>
  </si>
  <si>
    <t>別途御打合わせ</t>
    <rPh sb="0" eb="5">
      <t>ベットオウチア</t>
    </rPh>
    <phoneticPr fontId="2"/>
  </si>
  <si>
    <t>下記の通りお見積申し上げます。</t>
    <rPh sb="0" eb="2">
      <t>カキ</t>
    </rPh>
    <rPh sb="3" eb="4">
      <t>トオ</t>
    </rPh>
    <phoneticPr fontId="2"/>
  </si>
  <si>
    <t>消   費   税</t>
    <rPh sb="0" eb="1">
      <t>ショウ</t>
    </rPh>
    <rPh sb="4" eb="5">
      <t>ヒ</t>
    </rPh>
    <rPh sb="8" eb="9">
      <t>ゼイ</t>
    </rPh>
    <phoneticPr fontId="2"/>
  </si>
  <si>
    <t>現金振り込み</t>
    <rPh sb="0" eb="3">
      <t>ゲンキンフ</t>
    </rPh>
    <rPh sb="4" eb="5">
      <t>コ</t>
    </rPh>
    <phoneticPr fontId="2"/>
  </si>
  <si>
    <t>ソフトウェア保守サービス DL Care(年額）</t>
    <rPh sb="6" eb="8">
      <t>ホシュ</t>
    </rPh>
    <rPh sb="21" eb="23">
      <t>ネンガク</t>
    </rPh>
    <phoneticPr fontId="2"/>
  </si>
  <si>
    <t>【内訳（対象ソフトウェア）】</t>
    <rPh sb="1" eb="3">
      <t>ウチワケ</t>
    </rPh>
    <rPh sb="4" eb="6">
      <t>タイショウ</t>
    </rPh>
    <phoneticPr fontId="2"/>
  </si>
  <si>
    <t>担当：倉増</t>
    <rPh sb="0" eb="2">
      <t>タントウ</t>
    </rPh>
    <rPh sb="3" eb="5">
      <t>クラマシ</t>
    </rPh>
    <phoneticPr fontId="2"/>
  </si>
  <si>
    <t>・DL Careは年間契約（1年ごとの自動更新）となります。</t>
    <phoneticPr fontId="2"/>
  </si>
  <si>
    <t>※正式なご契約は、別途契約書にて取り交わさせていただきます。</t>
    <phoneticPr fontId="2"/>
  </si>
  <si>
    <t>・カスタム講習、入力代行サービスは都度お見積りの上、別途費用を頂きます。</t>
    <rPh sb="5" eb="7">
      <t>コウシュウ</t>
    </rPh>
    <rPh sb="8" eb="12">
      <t>ニュウリョクダイコウ</t>
    </rPh>
    <rPh sb="17" eb="19">
      <t>ツド</t>
    </rPh>
    <rPh sb="20" eb="22">
      <t>ミツモ</t>
    </rPh>
    <rPh sb="24" eb="25">
      <t>ウエ</t>
    </rPh>
    <rPh sb="26" eb="28">
      <t>ベット</t>
    </rPh>
    <rPh sb="28" eb="30">
      <t>ヒヨウ</t>
    </rPh>
    <rPh sb="31" eb="32">
      <t>イタダ</t>
    </rPh>
    <phoneticPr fontId="2"/>
  </si>
  <si>
    <t>┣S/F REAL４　(3台分:\180,000)</t>
    <rPh sb="13" eb="15">
      <t>ダイブン</t>
    </rPh>
    <phoneticPr fontId="2"/>
  </si>
  <si>
    <t>┣S/F Arris4(3台分)　</t>
    <phoneticPr fontId="2"/>
  </si>
  <si>
    <t>┣S/F NCあなあけ3（\60,000）</t>
    <phoneticPr fontId="2"/>
  </si>
  <si>
    <t>┗S/F 最適取合・見積積算（\36,000)</t>
    <rPh sb="5" eb="7">
      <t>サイテキ</t>
    </rPh>
    <rPh sb="7" eb="9">
      <t>トリア</t>
    </rPh>
    <rPh sb="10" eb="14">
      <t>ミツモリセキサン</t>
    </rPh>
    <phoneticPr fontId="2"/>
  </si>
  <si>
    <t>1台</t>
    <rPh sb="1" eb="2">
      <t>ダイ</t>
    </rPh>
    <phoneticPr fontId="8"/>
  </si>
  <si>
    <t>2台</t>
    <rPh sb="1" eb="2">
      <t>ダイ</t>
    </rPh>
    <phoneticPr fontId="8"/>
  </si>
  <si>
    <t>3台</t>
    <rPh sb="1" eb="2">
      <t>ダイ</t>
    </rPh>
    <phoneticPr fontId="8"/>
  </si>
  <si>
    <t>4台</t>
    <rPh sb="1" eb="2">
      <t>ダイ</t>
    </rPh>
    <phoneticPr fontId="8"/>
  </si>
  <si>
    <t>5台目以降</t>
    <rPh sb="1" eb="2">
      <t>ダイ</t>
    </rPh>
    <rPh sb="2" eb="5">
      <t>メイコウ</t>
    </rPh>
    <phoneticPr fontId="8"/>
  </si>
  <si>
    <t xml:space="preserve">見積積算・最適取合 </t>
    <phoneticPr fontId="8"/>
  </si>
  <si>
    <r>
      <t xml:space="preserve">OAシステム
</t>
    </r>
    <r>
      <rPr>
        <sz val="8"/>
        <rFont val="ＭＳ Ｐ明朝"/>
        <family val="1"/>
        <charset val="128"/>
      </rPr>
      <t>（見積積算・最適取合・原価管理含む）</t>
    </r>
    <phoneticPr fontId="8"/>
  </si>
  <si>
    <t>NCあなあけ</t>
    <phoneticPr fontId="8"/>
  </si>
  <si>
    <t>Arris</t>
    <phoneticPr fontId="8"/>
  </si>
  <si>
    <t>出荷計画</t>
    <phoneticPr fontId="8"/>
  </si>
  <si>
    <t>溶接ロボット連携</t>
    <phoneticPr fontId="8"/>
  </si>
  <si>
    <t>価格(税抜/年額）</t>
    <rPh sb="0" eb="2">
      <t>カカク</t>
    </rPh>
    <rPh sb="3" eb="5">
      <t>ゼイヌ</t>
    </rPh>
    <rPh sb="6" eb="8">
      <t>ネンガク</t>
    </rPh>
    <phoneticPr fontId="8"/>
  </si>
  <si>
    <t>台数による増額無し</t>
    <rPh sb="0" eb="2">
      <t>ダイスウ</t>
    </rPh>
    <rPh sb="5" eb="7">
      <t>ゾウガク</t>
    </rPh>
    <rPh sb="7" eb="8">
      <t>ナ</t>
    </rPh>
    <phoneticPr fontId="8"/>
  </si>
  <si>
    <t>保守種別/台数</t>
    <rPh sb="0" eb="2">
      <t>ホシュ</t>
    </rPh>
    <rPh sb="2" eb="4">
      <t>シュベツ</t>
    </rPh>
    <rPh sb="5" eb="7">
      <t>ダイスウ</t>
    </rPh>
    <phoneticPr fontId="8"/>
  </si>
  <si>
    <t>REAL4</t>
    <phoneticPr fontId="8"/>
  </si>
  <si>
    <t>〇〇株式会社　御中</t>
    <rPh sb="2" eb="6">
      <t>カブシキガイシャ</t>
    </rPh>
    <phoneticPr fontId="2"/>
  </si>
  <si>
    <t>住所　〒000-0000</t>
    <rPh sb="0" eb="2">
      <t>ジュウショ</t>
    </rPh>
    <phoneticPr fontId="2"/>
  </si>
  <si>
    <t>〇〇県○○市〇丁目〇-〇</t>
    <rPh sb="0" eb="3">
      <t>マルマルケン</t>
    </rPh>
    <rPh sb="5" eb="6">
      <t>シ</t>
    </rPh>
    <rPh sb="7" eb="9">
      <t>チョウメ</t>
    </rPh>
    <phoneticPr fontId="2"/>
  </si>
  <si>
    <t>御見積金額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</si>
</sst>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42" formatCode="_ &quot;¥&quot;* #,##0_ ;_ &quot;¥&quot;* \-#,##0_ ;_ &quot;¥&quot;* &quot;-&quot;_ ;_ @_ "/>
    <numFmt numFmtId="176" formatCode="#,##0_);\(#,##0\)"/>
    <numFmt numFmtId="177" formatCode="#,###&quot;円&quot;"/>
  </numFmts>
  <fonts count="16" x14ac:knownFonts="1"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4"/>
      <name val="ＭＳ Ｐ明朝"/>
      <family val="1"/>
      <charset val="128"/>
    </font>
    <font>
      <sz val="6"/>
      <name val="ＭＳ Ｐ明朝"/>
      <family val="1"/>
      <charset val="128"/>
    </font>
    <font>
      <sz val="8"/>
      <name val="ＭＳ Ｐ明朝"/>
      <family val="1"/>
      <charset val="128"/>
    </font>
    <font>
      <sz val="14"/>
      <name val="HGP明朝B"/>
      <family val="1"/>
      <charset val="128"/>
    </font>
    <font>
      <sz val="20"/>
      <name val="ＭＳ Ｐ明朝"/>
      <family val="1"/>
      <charset val="128"/>
    </font>
    <font>
      <sz val="10"/>
      <color rgb="FF333333"/>
      <name val="ＭＳ Ｐ明朝"/>
      <family val="1"/>
      <charset val="128"/>
    </font>
    <font>
      <sz val="14"/>
      <color theme="9" tint="-0.249977111117893"/>
      <name val="ＭＳ Ｐ明朝"/>
      <family val="1"/>
      <charset val="128"/>
    </font>
    <font>
      <sz val="11"/>
      <color theme="9" tint="-0.249977111117893"/>
      <name val="ＭＳ Ｐ明朝"/>
      <family val="1"/>
      <charset val="128"/>
    </font>
    <font>
      <sz val="10"/>
      <color theme="9" tint="-0.249977111117893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0" fontId="5" fillId="0" borderId="0"/>
  </cellStyleXfs>
  <cellXfs count="7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3" xfId="0" applyFont="1" applyBorder="1"/>
    <xf numFmtId="0" fontId="6" fillId="0" borderId="4" xfId="3" applyFont="1" applyBorder="1" applyAlignment="1">
      <alignment horizontal="left"/>
    </xf>
    <xf numFmtId="0" fontId="6" fillId="0" borderId="5" xfId="3" applyFont="1" applyBorder="1"/>
    <xf numFmtId="0" fontId="6" fillId="0" borderId="6" xfId="0" applyFont="1" applyBorder="1" applyAlignment="1">
      <alignment horizontal="center"/>
    </xf>
    <xf numFmtId="0" fontId="6" fillId="0" borderId="7" xfId="3" applyFont="1" applyBorder="1" applyAlignment="1">
      <alignment horizontal="left"/>
    </xf>
    <xf numFmtId="0" fontId="6" fillId="0" borderId="8" xfId="3" applyFont="1" applyBorder="1" applyAlignment="1">
      <alignment horizontal="left" indent="2"/>
    </xf>
    <xf numFmtId="0" fontId="6" fillId="0" borderId="9" xfId="0" applyFont="1" applyBorder="1"/>
    <xf numFmtId="0" fontId="6" fillId="0" borderId="10" xfId="0" applyFont="1" applyBorder="1"/>
    <xf numFmtId="0" fontId="6" fillId="0" borderId="7" xfId="0" applyFont="1" applyBorder="1"/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7" fillId="0" borderId="0" xfId="0" applyFont="1"/>
    <xf numFmtId="31" fontId="0" fillId="0" borderId="0" xfId="0" applyNumberFormat="1"/>
    <xf numFmtId="0" fontId="0" fillId="0" borderId="11" xfId="0" applyBorder="1" applyAlignment="1">
      <alignment horizontal="center" vertical="center"/>
    </xf>
    <xf numFmtId="176" fontId="6" fillId="0" borderId="6" xfId="2" applyNumberFormat="1" applyFont="1" applyBorder="1" applyAlignment="1">
      <alignment horizontal="right"/>
    </xf>
    <xf numFmtId="177" fontId="6" fillId="0" borderId="11" xfId="2" applyNumberFormat="1" applyFont="1" applyBorder="1" applyAlignment="1">
      <alignment horizontal="right"/>
    </xf>
    <xf numFmtId="177" fontId="6" fillId="0" borderId="6" xfId="2" applyNumberFormat="1" applyFont="1" applyBorder="1" applyAlignment="1">
      <alignment horizontal="right"/>
    </xf>
    <xf numFmtId="176" fontId="6" fillId="0" borderId="4" xfId="0" applyNumberFormat="1" applyFont="1" applyBorder="1"/>
    <xf numFmtId="176" fontId="6" fillId="0" borderId="9" xfId="0" applyNumberFormat="1" applyFont="1" applyBorder="1"/>
    <xf numFmtId="176" fontId="6" fillId="0" borderId="7" xfId="0" applyNumberFormat="1" applyFont="1" applyBorder="1"/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/>
    <xf numFmtId="0" fontId="12" fillId="0" borderId="0" xfId="0" applyFont="1"/>
    <xf numFmtId="0" fontId="0" fillId="2" borderId="11" xfId="0" applyFill="1" applyBorder="1"/>
    <xf numFmtId="0" fontId="0" fillId="0" borderId="11" xfId="0" applyBorder="1"/>
    <xf numFmtId="42" fontId="0" fillId="0" borderId="11" xfId="1" applyNumberFormat="1" applyFont="1" applyBorder="1"/>
    <xf numFmtId="0" fontId="0" fillId="0" borderId="11" xfId="0" applyBorder="1" applyAlignment="1">
      <alignment wrapText="1"/>
    </xf>
    <xf numFmtId="0" fontId="14" fillId="0" borderId="1" xfId="0" applyFont="1" applyBorder="1"/>
    <xf numFmtId="0" fontId="15" fillId="0" borderId="0" xfId="0" applyFont="1"/>
    <xf numFmtId="0" fontId="14" fillId="0" borderId="2" xfId="0" applyFont="1" applyBorder="1"/>
    <xf numFmtId="31" fontId="14" fillId="0" borderId="0" xfId="0" applyNumberFormat="1" applyFont="1"/>
    <xf numFmtId="0" fontId="14" fillId="0" borderId="2" xfId="0" applyFont="1" applyBorder="1" applyAlignment="1">
      <alignment horizontal="right"/>
    </xf>
    <xf numFmtId="0" fontId="14" fillId="0" borderId="6" xfId="0" applyFont="1" applyBorder="1" applyAlignment="1">
      <alignment horizontal="center"/>
    </xf>
    <xf numFmtId="176" fontId="14" fillId="0" borderId="4" xfId="0" applyNumberFormat="1" applyFont="1" applyBorder="1"/>
    <xf numFmtId="176" fontId="14" fillId="0" borderId="6" xfId="2" applyNumberFormat="1" applyFont="1" applyBorder="1" applyAlignment="1">
      <alignment horizontal="right"/>
    </xf>
    <xf numFmtId="177" fontId="11" fillId="0" borderId="0" xfId="0" applyNumberFormat="1" applyFont="1"/>
    <xf numFmtId="0" fontId="10" fillId="0" borderId="0" xfId="0" applyFont="1" applyAlignment="1">
      <alignment horizontal="left" vertical="top" inden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/>
    <xf numFmtId="0" fontId="13" fillId="0" borderId="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3" applyFont="1" applyBorder="1" applyAlignment="1">
      <alignment horizontal="left"/>
    </xf>
    <xf numFmtId="0" fontId="0" fillId="0" borderId="1" xfId="3" applyFont="1" applyBorder="1" applyAlignment="1">
      <alignment horizontal="left"/>
    </xf>
    <xf numFmtId="0" fontId="0" fillId="0" borderId="8" xfId="3" applyFont="1" applyBorder="1" applyAlignment="1">
      <alignment horizontal="left"/>
    </xf>
    <xf numFmtId="0" fontId="0" fillId="0" borderId="4" xfId="3" applyFont="1" applyBorder="1" applyAlignment="1">
      <alignment horizontal="left"/>
    </xf>
    <xf numFmtId="0" fontId="0" fillId="0" borderId="0" xfId="3" applyFont="1" applyAlignment="1">
      <alignment horizontal="left"/>
    </xf>
    <xf numFmtId="0" fontId="0" fillId="0" borderId="5" xfId="3" applyFont="1" applyBorder="1" applyAlignment="1">
      <alignment horizontal="left"/>
    </xf>
    <xf numFmtId="0" fontId="14" fillId="0" borderId="4" xfId="3" applyFont="1" applyBorder="1" applyAlignment="1">
      <alignment horizontal="left"/>
    </xf>
    <xf numFmtId="0" fontId="14" fillId="0" borderId="0" xfId="3" applyFont="1" applyAlignment="1">
      <alignment horizontal="left"/>
    </xf>
    <xf numFmtId="0" fontId="14" fillId="0" borderId="5" xfId="3" applyFont="1" applyBorder="1" applyAlignment="1">
      <alignment horizontal="left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7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42" fontId="0" fillId="3" borderId="1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</cellXfs>
  <cellStyles count="4">
    <cellStyle name="桁区切り" xfId="1" builtinId="6"/>
    <cellStyle name="通貨" xfId="2" builtinId="7"/>
    <cellStyle name="標準" xfId="0" builtinId="0"/>
    <cellStyle name="標準_見積書D" xfId="3" xr:uid="{76C1DE2D-513F-4C75-A459-696D67CC9A78}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644801</xdr:colOff>
      <xdr:row>2</xdr:row>
      <xdr:rowOff>63777</xdr:rowOff>
    </xdr:from>
    <xdr:to>
      <xdr:col>5</xdr:col>
      <xdr:colOff>1312770</xdr:colOff>
      <xdr:row>9</xdr:row>
      <xdr:rowOff>138044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722A3FB-D6AD-5148-F537-FEC4AFBDA8DE}"/>
            </a:ext>
          </a:extLst>
        </xdr:cNvPr>
        <xdr:cNvSpPr txBox="1"/>
      </xdr:nvSpPr>
      <xdr:spPr>
        <a:xfrm>
          <a:off x="4140476" y="711477"/>
          <a:ext cx="2249119" cy="178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endParaRPr kumimoji="1" lang="en-US" altLang="ja-JP" sz="6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r>
            <a:rPr kumimoji="1" lang="ja-JP" altLang="en-US" sz="1200">
              <a:latin typeface="HGS明朝B" panose="02020800000000000000" pitchFamily="18" charset="-128"/>
              <a:ea typeface="HGS明朝B" panose="02020800000000000000" pitchFamily="18" charset="-128"/>
            </a:rPr>
            <a:t> </a:t>
          </a:r>
          <a:r>
            <a:rPr kumimoji="1" lang="ja-JP" altLang="en-US" sz="1200">
              <a:latin typeface="ＭＳ Ｐ明朝" panose="02020600040205080304" pitchFamily="18" charset="-128"/>
              <a:ea typeface="ＭＳ Ｐ明朝" panose="02020600040205080304" pitchFamily="18" charset="-128"/>
            </a:rPr>
            <a:t>株式会社データロジック</a:t>
          </a:r>
          <a:endParaRPr kumimoji="1" lang="en-US" altLang="ja-JP" sz="12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 代表取締役　波田　政幸</a:t>
          </a:r>
          <a:endParaRPr kumimoji="1" lang="en-US" altLang="ja-JP" sz="11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　  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〒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759-3113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山口県萩市江崎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25-1</a:t>
          </a:r>
        </a:p>
        <a:p>
          <a:pPr lvl="0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TEL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08387-2-1129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FAX</a:t>
          </a:r>
          <a:r>
            <a:rPr kumimoji="1" lang="en-US" altLang="ja-JP" sz="1000" baseline="0">
              <a:latin typeface="ＭＳ Ｐ明朝" panose="02020600040205080304" pitchFamily="18" charset="-128"/>
              <a:ea typeface="ＭＳ Ｐ明朝" panose="02020600040205080304" pitchFamily="18" charset="-128"/>
            </a:rPr>
            <a:t>  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08387-2-0029</a:t>
          </a:r>
        </a:p>
        <a:p>
          <a:endParaRPr kumimoji="1" lang="en-US" altLang="ja-JP" sz="1100"/>
        </a:p>
        <a:p>
          <a:pPr>
            <a:lnSpc>
              <a:spcPts val="1200"/>
            </a:lnSpc>
          </a:pPr>
          <a:endParaRPr kumimoji="1" lang="ja-JP" altLang="en-US" sz="1100"/>
        </a:p>
      </xdr:txBody>
    </xdr:sp>
    <xdr:clientData/>
  </xdr:twoCellAnchor>
  <xdr:twoCellAnchor>
    <xdr:from>
      <xdr:col>3</xdr:col>
      <xdr:colOff>457200</xdr:colOff>
      <xdr:row>2</xdr:row>
      <xdr:rowOff>238125</xdr:rowOff>
    </xdr:from>
    <xdr:to>
      <xdr:col>5</xdr:col>
      <xdr:colOff>1304925</xdr:colOff>
      <xdr:row>4</xdr:row>
      <xdr:rowOff>38100</xdr:rowOff>
    </xdr:to>
    <xdr:pic>
      <xdr:nvPicPr>
        <xdr:cNvPr id="4105" name="図 25">
          <a:extLst>
            <a:ext uri="{FF2B5EF4-FFF2-40B4-BE49-F238E27FC236}">
              <a16:creationId xmlns:a16="http://schemas.microsoft.com/office/drawing/2014/main" id="{E0EC5B2E-4EA2-0983-ABBA-6F4A7D70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885825"/>
          <a:ext cx="24288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11</xdr:row>
      <xdr:rowOff>104775</xdr:rowOff>
    </xdr:from>
    <xdr:to>
      <xdr:col>3</xdr:col>
      <xdr:colOff>466725</xdr:colOff>
      <xdr:row>13</xdr:row>
      <xdr:rowOff>104775</xdr:rowOff>
    </xdr:to>
    <xdr:grpSp>
      <xdr:nvGrpSpPr>
        <xdr:cNvPr id="4106" name="グループ化 40">
          <a:extLst>
            <a:ext uri="{FF2B5EF4-FFF2-40B4-BE49-F238E27FC236}">
              <a16:creationId xmlns:a16="http://schemas.microsoft.com/office/drawing/2014/main" id="{154D9243-7372-E0EB-7008-3B3180896A5F}"/>
            </a:ext>
          </a:extLst>
        </xdr:cNvPr>
        <xdr:cNvGrpSpPr>
          <a:grpSpLocks/>
        </xdr:cNvGrpSpPr>
      </xdr:nvGrpSpPr>
      <xdr:grpSpPr bwMode="auto">
        <a:xfrm>
          <a:off x="85725" y="2924175"/>
          <a:ext cx="3876675" cy="533400"/>
          <a:chOff x="111541" y="3420720"/>
          <a:chExt cx="3543851" cy="536437"/>
        </a:xfrm>
      </xdr:grpSpPr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0BD64285-F14F-ED35-03C4-E3EC3D480380}"/>
              </a:ext>
            </a:extLst>
          </xdr:cNvPr>
          <xdr:cNvSpPr txBox="1"/>
        </xdr:nvSpPr>
        <xdr:spPr>
          <a:xfrm>
            <a:off x="111541" y="3420720"/>
            <a:ext cx="3543851" cy="536437"/>
          </a:xfrm>
          <a:prstGeom prst="rect">
            <a:avLst/>
          </a:prstGeom>
          <a:solidFill>
            <a:schemeClr val="lt1"/>
          </a:solidFill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400">
                <a:latin typeface="HGS明朝B" panose="02020800000000000000" pitchFamily="18" charset="-128"/>
                <a:ea typeface="HGS明朝B" panose="02020800000000000000" pitchFamily="18" charset="-128"/>
              </a:rPr>
              <a:t>御見積金額</a:t>
            </a:r>
            <a:r>
              <a:rPr kumimoji="1" lang="ja-JP" altLang="en-US" sz="1200">
                <a:latin typeface="HGS明朝B" panose="02020800000000000000" pitchFamily="18" charset="-128"/>
                <a:ea typeface="HGS明朝B" panose="02020800000000000000" pitchFamily="18" charset="-128"/>
              </a:rPr>
              <a:t>　</a:t>
            </a:r>
            <a:r>
              <a:rPr kumimoji="1" lang="ja-JP" altLang="en-US" sz="1000">
                <a:latin typeface="HGS明朝B" panose="02020800000000000000" pitchFamily="18" charset="-128"/>
                <a:ea typeface="HGS明朝B" panose="02020800000000000000" pitchFamily="18" charset="-128"/>
              </a:rPr>
              <a:t>　　　</a:t>
            </a:r>
            <a:r>
              <a:rPr kumimoji="1" lang="ja-JP" altLang="en-US" sz="1400">
                <a:latin typeface="HGS明朝B" panose="02020800000000000000" pitchFamily="18" charset="-128"/>
                <a:ea typeface="HGS明朝B" panose="02020800000000000000" pitchFamily="18" charset="-128"/>
              </a:rPr>
              <a:t>　　　　　　　　　　　</a:t>
            </a:r>
          </a:p>
        </xdr:txBody>
      </xdr:sp>
      <xdr:sp macro="" textlink="$F$34">
        <xdr:nvSpPr>
          <xdr:cNvPr id="6" name="正方形/長方形 5">
            <a:extLst>
              <a:ext uri="{FF2B5EF4-FFF2-40B4-BE49-F238E27FC236}">
                <a16:creationId xmlns:a16="http://schemas.microsoft.com/office/drawing/2014/main" id="{042C455E-CF8D-14A5-A87A-9957DADB843F}"/>
              </a:ext>
            </a:extLst>
          </xdr:cNvPr>
          <xdr:cNvSpPr/>
        </xdr:nvSpPr>
        <xdr:spPr>
          <a:xfrm>
            <a:off x="1391507" y="3468616"/>
            <a:ext cx="2002668" cy="4119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73A06A63-06C4-42FA-8B3D-4D7E6205BA45}" type="TxLink">
              <a:rPr kumimoji="1" lang="en-US" altLang="en-US" sz="2000" b="0" i="0" u="none" strike="noStrike">
                <a:solidFill>
                  <a:srgbClr val="000000"/>
                </a:solidFill>
                <a:latin typeface="ＭＳ Ｐ明朝"/>
                <a:ea typeface="ＭＳ Ｐ明朝"/>
              </a:rPr>
              <a:pPr algn="l"/>
              <a:t>303,600円</a:t>
            </a:fld>
            <a:endParaRPr kumimoji="1" lang="ja-JP" altLang="en-US" sz="2000"/>
          </a:p>
        </xdr:txBody>
      </xdr:sp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D63A8F84-8A19-DF9F-6467-AA4FAC2E1346}"/>
              </a:ext>
            </a:extLst>
          </xdr:cNvPr>
          <xdr:cNvCxnSpPr/>
        </xdr:nvCxnSpPr>
        <xdr:spPr>
          <a:xfrm>
            <a:off x="189906" y="3851785"/>
            <a:ext cx="289951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647700</xdr:colOff>
      <xdr:row>5</xdr:row>
      <xdr:rowOff>190500</xdr:rowOff>
    </xdr:from>
    <xdr:to>
      <xdr:col>5</xdr:col>
      <xdr:colOff>1333500</xdr:colOff>
      <xdr:row>8</xdr:row>
      <xdr:rowOff>152400</xdr:rowOff>
    </xdr:to>
    <xdr:pic>
      <xdr:nvPicPr>
        <xdr:cNvPr id="4107" name="図 3">
          <a:extLst>
            <a:ext uri="{FF2B5EF4-FFF2-40B4-BE49-F238E27FC236}">
              <a16:creationId xmlns:a16="http://schemas.microsoft.com/office/drawing/2014/main" id="{20231553-C3A5-F154-377D-0D4A90E2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638300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644801</xdr:colOff>
      <xdr:row>2</xdr:row>
      <xdr:rowOff>63777</xdr:rowOff>
    </xdr:from>
    <xdr:to>
      <xdr:col>5</xdr:col>
      <xdr:colOff>1312770</xdr:colOff>
      <xdr:row>9</xdr:row>
      <xdr:rowOff>138044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E908A88-1B8E-18D8-3D4E-1E18A8B966A2}"/>
            </a:ext>
          </a:extLst>
        </xdr:cNvPr>
        <xdr:cNvSpPr txBox="1"/>
      </xdr:nvSpPr>
      <xdr:spPr>
        <a:xfrm>
          <a:off x="4140476" y="711477"/>
          <a:ext cx="2249119" cy="178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endParaRPr kumimoji="1" lang="en-US" altLang="ja-JP" sz="6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r>
            <a:rPr kumimoji="1" lang="ja-JP" altLang="en-US" sz="1200">
              <a:latin typeface="HGS明朝B" panose="02020800000000000000" pitchFamily="18" charset="-128"/>
              <a:ea typeface="HGS明朝B" panose="02020800000000000000" pitchFamily="18" charset="-128"/>
            </a:rPr>
            <a:t> </a:t>
          </a:r>
          <a:r>
            <a:rPr kumimoji="1" lang="ja-JP" altLang="en-US" sz="1200">
              <a:latin typeface="ＭＳ Ｐ明朝" panose="02020600040205080304" pitchFamily="18" charset="-128"/>
              <a:ea typeface="ＭＳ Ｐ明朝" panose="02020600040205080304" pitchFamily="18" charset="-128"/>
            </a:rPr>
            <a:t>株式会社データロジック</a:t>
          </a:r>
          <a:endParaRPr kumimoji="1" lang="en-US" altLang="ja-JP" sz="12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 代表取締役　波田　政幸</a:t>
          </a:r>
          <a:endParaRPr kumimoji="1" lang="en-US" altLang="ja-JP" sz="11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　  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〒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759-3113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山口県萩市江崎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25-1</a:t>
          </a:r>
        </a:p>
        <a:p>
          <a:pPr lvl="0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TEL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08387-2-1129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FAX</a:t>
          </a:r>
          <a:r>
            <a:rPr kumimoji="1" lang="en-US" altLang="ja-JP" sz="1000" baseline="0">
              <a:latin typeface="ＭＳ Ｐ明朝" panose="02020600040205080304" pitchFamily="18" charset="-128"/>
              <a:ea typeface="ＭＳ Ｐ明朝" panose="02020600040205080304" pitchFamily="18" charset="-128"/>
            </a:rPr>
            <a:t>  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08387-2-0029</a:t>
          </a:r>
        </a:p>
        <a:p>
          <a:endParaRPr kumimoji="1" lang="en-US" altLang="ja-JP" sz="1100"/>
        </a:p>
        <a:p>
          <a:pPr>
            <a:lnSpc>
              <a:spcPts val="1200"/>
            </a:lnSpc>
          </a:pPr>
          <a:endParaRPr kumimoji="1" lang="ja-JP" altLang="en-US" sz="1100"/>
        </a:p>
      </xdr:txBody>
    </xdr:sp>
    <xdr:clientData/>
  </xdr:twoCellAnchor>
  <xdr:twoCellAnchor>
    <xdr:from>
      <xdr:col>3</xdr:col>
      <xdr:colOff>457200</xdr:colOff>
      <xdr:row>2</xdr:row>
      <xdr:rowOff>238125</xdr:rowOff>
    </xdr:from>
    <xdr:to>
      <xdr:col>5</xdr:col>
      <xdr:colOff>1304925</xdr:colOff>
      <xdr:row>4</xdr:row>
      <xdr:rowOff>38100</xdr:rowOff>
    </xdr:to>
    <xdr:pic>
      <xdr:nvPicPr>
        <xdr:cNvPr id="5126" name="図 25">
          <a:extLst>
            <a:ext uri="{FF2B5EF4-FFF2-40B4-BE49-F238E27FC236}">
              <a16:creationId xmlns:a16="http://schemas.microsoft.com/office/drawing/2014/main" id="{24E5ABFA-E312-19C0-8A50-1F844C2BE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885825"/>
          <a:ext cx="24288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123825</xdr:colOff>
      <xdr:row>13</xdr:row>
      <xdr:rowOff>3082</xdr:rowOff>
    </xdr:from>
    <xdr:to>
      <xdr:col>2</xdr:col>
      <xdr:colOff>457201</xdr:colOff>
      <xdr:row>13</xdr:row>
      <xdr:rowOff>3082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188A914-A8EB-1BEC-FA30-4F4AF1493E7F}"/>
            </a:ext>
          </a:extLst>
        </xdr:cNvPr>
        <xdr:cNvCxnSpPr/>
      </xdr:nvCxnSpPr>
      <xdr:spPr bwMode="auto">
        <a:xfrm>
          <a:off x="123825" y="3355882"/>
          <a:ext cx="317182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5</xdr:row>
      <xdr:rowOff>190500</xdr:rowOff>
    </xdr:from>
    <xdr:to>
      <xdr:col>5</xdr:col>
      <xdr:colOff>1333500</xdr:colOff>
      <xdr:row>8</xdr:row>
      <xdr:rowOff>152400</xdr:rowOff>
    </xdr:to>
    <xdr:pic>
      <xdr:nvPicPr>
        <xdr:cNvPr id="5128" name="図 3">
          <a:extLst>
            <a:ext uri="{FF2B5EF4-FFF2-40B4-BE49-F238E27FC236}">
              <a16:creationId xmlns:a16="http://schemas.microsoft.com/office/drawing/2014/main" id="{D92891B6-8C94-3E8C-FFA3-EA7B1E13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638300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644801</xdr:colOff>
      <xdr:row>2</xdr:row>
      <xdr:rowOff>63777</xdr:rowOff>
    </xdr:from>
    <xdr:to>
      <xdr:col>5</xdr:col>
      <xdr:colOff>1312770</xdr:colOff>
      <xdr:row>9</xdr:row>
      <xdr:rowOff>138044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F422F511-C6CC-CE90-C7B5-E1EDA7A0FA65}"/>
            </a:ext>
          </a:extLst>
        </xdr:cNvPr>
        <xdr:cNvSpPr txBox="1"/>
      </xdr:nvSpPr>
      <xdr:spPr>
        <a:xfrm>
          <a:off x="3793435" y="709820"/>
          <a:ext cx="2060712" cy="17749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endParaRPr kumimoji="1" lang="en-US" altLang="ja-JP" sz="6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r>
            <a:rPr kumimoji="1" lang="ja-JP" altLang="en-US" sz="1200">
              <a:latin typeface="HGS明朝B" panose="02020800000000000000" pitchFamily="18" charset="-128"/>
              <a:ea typeface="HGS明朝B" panose="02020800000000000000" pitchFamily="18" charset="-128"/>
            </a:rPr>
            <a:t> </a:t>
          </a:r>
          <a:r>
            <a:rPr kumimoji="1" lang="ja-JP" altLang="en-US" sz="1200">
              <a:latin typeface="ＭＳ Ｐ明朝" panose="02020600040205080304" pitchFamily="18" charset="-128"/>
              <a:ea typeface="ＭＳ Ｐ明朝" panose="02020600040205080304" pitchFamily="18" charset="-128"/>
            </a:rPr>
            <a:t>株式会社データロジック</a:t>
          </a:r>
          <a:endParaRPr kumimoji="1" lang="en-US" altLang="ja-JP" sz="12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 代表取締役　波田　政幸</a:t>
          </a:r>
          <a:endParaRPr kumimoji="1" lang="en-US" altLang="ja-JP" sz="11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　  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〒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759-3113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山口県萩市江崎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25-1</a:t>
          </a:r>
        </a:p>
        <a:p>
          <a:pPr lvl="0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TEL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08387-2-1129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FAX</a:t>
          </a:r>
          <a:r>
            <a:rPr kumimoji="1" lang="en-US" altLang="ja-JP" sz="1000" baseline="0">
              <a:latin typeface="ＭＳ Ｐ明朝" panose="02020600040205080304" pitchFamily="18" charset="-128"/>
              <a:ea typeface="ＭＳ Ｐ明朝" panose="02020600040205080304" pitchFamily="18" charset="-128"/>
            </a:rPr>
            <a:t>  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08387-2-0029</a:t>
          </a:r>
        </a:p>
        <a:p>
          <a:endParaRPr kumimoji="1" lang="en-US" altLang="ja-JP" sz="1100"/>
        </a:p>
        <a:p>
          <a:pPr>
            <a:lnSpc>
              <a:spcPts val="1200"/>
            </a:lnSpc>
          </a:pPr>
          <a:endParaRPr kumimoji="1" lang="ja-JP" altLang="en-US" sz="1100"/>
        </a:p>
      </xdr:txBody>
    </xdr:sp>
    <xdr:clientData/>
  </xdr:twoCellAnchor>
  <xdr:twoCellAnchor>
    <xdr:from>
      <xdr:col>3</xdr:col>
      <xdr:colOff>457200</xdr:colOff>
      <xdr:row>2</xdr:row>
      <xdr:rowOff>238125</xdr:rowOff>
    </xdr:from>
    <xdr:to>
      <xdr:col>5</xdr:col>
      <xdr:colOff>1304925</xdr:colOff>
      <xdr:row>4</xdr:row>
      <xdr:rowOff>38100</xdr:rowOff>
    </xdr:to>
    <xdr:pic>
      <xdr:nvPicPr>
        <xdr:cNvPr id="1751" name="図 25">
          <a:extLst>
            <a:ext uri="{FF2B5EF4-FFF2-40B4-BE49-F238E27FC236}">
              <a16:creationId xmlns:a16="http://schemas.microsoft.com/office/drawing/2014/main" id="{6918E9D7-ED8C-009A-A1BD-1005C16B4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885825"/>
          <a:ext cx="24288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11</xdr:row>
      <xdr:rowOff>104775</xdr:rowOff>
    </xdr:from>
    <xdr:to>
      <xdr:col>3</xdr:col>
      <xdr:colOff>466725</xdr:colOff>
      <xdr:row>13</xdr:row>
      <xdr:rowOff>104775</xdr:rowOff>
    </xdr:to>
    <xdr:grpSp>
      <xdr:nvGrpSpPr>
        <xdr:cNvPr id="1752" name="グループ化 40">
          <a:extLst>
            <a:ext uri="{FF2B5EF4-FFF2-40B4-BE49-F238E27FC236}">
              <a16:creationId xmlns:a16="http://schemas.microsoft.com/office/drawing/2014/main" id="{9D47F72A-F029-6D20-D6D7-B20A97CACC42}"/>
            </a:ext>
          </a:extLst>
        </xdr:cNvPr>
        <xdr:cNvGrpSpPr>
          <a:grpSpLocks/>
        </xdr:cNvGrpSpPr>
      </xdr:nvGrpSpPr>
      <xdr:grpSpPr bwMode="auto">
        <a:xfrm>
          <a:off x="85725" y="2924175"/>
          <a:ext cx="3876675" cy="533400"/>
          <a:chOff x="111541" y="3420720"/>
          <a:chExt cx="3543851" cy="536437"/>
        </a:xfrm>
      </xdr:grpSpPr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EAD36E57-D196-2020-583B-8B756D48BB94}"/>
              </a:ext>
            </a:extLst>
          </xdr:cNvPr>
          <xdr:cNvSpPr txBox="1"/>
        </xdr:nvSpPr>
        <xdr:spPr>
          <a:xfrm>
            <a:off x="111541" y="3420720"/>
            <a:ext cx="3543851" cy="536437"/>
          </a:xfrm>
          <a:prstGeom prst="rect">
            <a:avLst/>
          </a:prstGeom>
          <a:solidFill>
            <a:schemeClr val="lt1"/>
          </a:solidFill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400">
                <a:latin typeface="HGS明朝B" panose="02020800000000000000" pitchFamily="18" charset="-128"/>
                <a:ea typeface="HGS明朝B" panose="02020800000000000000" pitchFamily="18" charset="-128"/>
              </a:rPr>
              <a:t>御見積金額</a:t>
            </a:r>
            <a:r>
              <a:rPr kumimoji="1" lang="ja-JP" altLang="en-US" sz="1200">
                <a:latin typeface="HGS明朝B" panose="02020800000000000000" pitchFamily="18" charset="-128"/>
                <a:ea typeface="HGS明朝B" panose="02020800000000000000" pitchFamily="18" charset="-128"/>
              </a:rPr>
              <a:t>　</a:t>
            </a:r>
            <a:r>
              <a:rPr kumimoji="1" lang="ja-JP" altLang="en-US" sz="1000">
                <a:latin typeface="HGS明朝B" panose="02020800000000000000" pitchFamily="18" charset="-128"/>
                <a:ea typeface="HGS明朝B" panose="02020800000000000000" pitchFamily="18" charset="-128"/>
              </a:rPr>
              <a:t>　　　</a:t>
            </a:r>
            <a:r>
              <a:rPr kumimoji="1" lang="ja-JP" altLang="en-US" sz="1400">
                <a:latin typeface="HGS明朝B" panose="02020800000000000000" pitchFamily="18" charset="-128"/>
                <a:ea typeface="HGS明朝B" panose="02020800000000000000" pitchFamily="18" charset="-128"/>
              </a:rPr>
              <a:t>　　　　　　　　　　　</a:t>
            </a:r>
          </a:p>
        </xdr:txBody>
      </xdr:sp>
      <xdr:sp macro="" textlink="$F$34">
        <xdr:nvSpPr>
          <xdr:cNvPr id="24" name="正方形/長方形 23">
            <a:extLst>
              <a:ext uri="{FF2B5EF4-FFF2-40B4-BE49-F238E27FC236}">
                <a16:creationId xmlns:a16="http://schemas.microsoft.com/office/drawing/2014/main" id="{01068989-6B67-9EA7-2BF4-8E2EF77F2CB7}"/>
              </a:ext>
            </a:extLst>
          </xdr:cNvPr>
          <xdr:cNvSpPr/>
        </xdr:nvSpPr>
        <xdr:spPr>
          <a:xfrm>
            <a:off x="1391507" y="3468616"/>
            <a:ext cx="2002668" cy="4119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C6A43BAF-AC69-4F4F-A5BD-E433504CA626}" type="TxLink">
              <a:rPr kumimoji="1" lang="en-US" altLang="en-US" sz="2000" b="0" i="0" u="none" strike="noStrike">
                <a:solidFill>
                  <a:srgbClr val="000000"/>
                </a:solidFill>
                <a:latin typeface="ＭＳ Ｐ明朝"/>
                <a:ea typeface="ＭＳ Ｐ明朝"/>
              </a:rPr>
              <a:pPr algn="l"/>
              <a:t>303,600円</a:t>
            </a:fld>
            <a:endParaRPr kumimoji="1" lang="ja-JP" altLang="en-US" sz="2000"/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D977FC65-E1C3-1413-1D56-571AAC0D09C4}"/>
              </a:ext>
            </a:extLst>
          </xdr:cNvPr>
          <xdr:cNvCxnSpPr/>
        </xdr:nvCxnSpPr>
        <xdr:spPr>
          <a:xfrm>
            <a:off x="189906" y="3851785"/>
            <a:ext cx="289951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647700</xdr:colOff>
      <xdr:row>5</xdr:row>
      <xdr:rowOff>190500</xdr:rowOff>
    </xdr:from>
    <xdr:to>
      <xdr:col>5</xdr:col>
      <xdr:colOff>1333500</xdr:colOff>
      <xdr:row>8</xdr:row>
      <xdr:rowOff>152400</xdr:rowOff>
    </xdr:to>
    <xdr:pic>
      <xdr:nvPicPr>
        <xdr:cNvPr id="1753" name="図 3">
          <a:extLst>
            <a:ext uri="{FF2B5EF4-FFF2-40B4-BE49-F238E27FC236}">
              <a16:creationId xmlns:a16="http://schemas.microsoft.com/office/drawing/2014/main" id="{B7830EAE-F8BE-C823-9478-30597D9D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638300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5FBC-07C0-4208-96B0-165A1B6C2DC8}">
  <dimension ref="A1:F38"/>
  <sheetViews>
    <sheetView showZeros="0" zoomScaleNormal="100" workbookViewId="0">
      <selection activeCell="F34" sqref="F34"/>
    </sheetView>
  </sheetViews>
  <sheetFormatPr defaultRowHeight="13.5" x14ac:dyDescent="0.15"/>
  <cols>
    <col min="1" max="1" width="19.125" customWidth="1"/>
    <col min="2" max="2" width="18.125" customWidth="1"/>
    <col min="3" max="4" width="8.625" customWidth="1"/>
    <col min="5" max="5" width="12.125" customWidth="1"/>
    <col min="6" max="6" width="17.75" customWidth="1"/>
  </cols>
  <sheetData>
    <row r="1" spans="1:6" ht="30" customHeight="1" thickTop="1" thickBot="1" x14ac:dyDescent="0.2">
      <c r="B1" s="44" t="s">
        <v>0</v>
      </c>
      <c r="C1" s="45"/>
      <c r="D1" s="45"/>
      <c r="E1" s="45"/>
    </row>
    <row r="2" spans="1:6" ht="21" customHeight="1" thickTop="1" x14ac:dyDescent="0.15">
      <c r="F2" s="37">
        <f ca="1">TODAY()</f>
        <v>46100</v>
      </c>
    </row>
    <row r="3" spans="1:6" ht="21" customHeight="1" x14ac:dyDescent="0.2">
      <c r="A3" s="46" t="s">
        <v>43</v>
      </c>
      <c r="B3" s="46"/>
    </row>
    <row r="4" spans="1:6" ht="21" customHeight="1" x14ac:dyDescent="0.15">
      <c r="A4" s="34" t="s">
        <v>44</v>
      </c>
      <c r="B4" s="34"/>
    </row>
    <row r="5" spans="1:6" ht="21" customHeight="1" x14ac:dyDescent="0.2">
      <c r="A5" s="35" t="s">
        <v>45</v>
      </c>
      <c r="B5" s="36"/>
      <c r="E5" s="15"/>
    </row>
    <row r="6" spans="1:6" ht="18" customHeight="1" x14ac:dyDescent="0.15">
      <c r="A6" s="4" t="s">
        <v>5</v>
      </c>
      <c r="B6" s="3" t="s">
        <v>12</v>
      </c>
    </row>
    <row r="7" spans="1:6" ht="18" customHeight="1" x14ac:dyDescent="0.15">
      <c r="A7" s="4" t="s">
        <v>6</v>
      </c>
      <c r="B7" s="3" t="s">
        <v>13</v>
      </c>
    </row>
    <row r="8" spans="1:6" ht="18" customHeight="1" x14ac:dyDescent="0.15">
      <c r="A8" s="4" t="s">
        <v>7</v>
      </c>
      <c r="B8" s="3" t="s">
        <v>14</v>
      </c>
    </row>
    <row r="9" spans="1:6" ht="18" customHeight="1" x14ac:dyDescent="0.15">
      <c r="A9" s="4" t="s">
        <v>8</v>
      </c>
      <c r="B9" s="3" t="s">
        <v>17</v>
      </c>
    </row>
    <row r="10" spans="1:6" ht="18" customHeight="1" x14ac:dyDescent="0.15"/>
    <row r="11" spans="1:6" ht="18" customHeight="1" x14ac:dyDescent="0.15">
      <c r="A11" t="s">
        <v>15</v>
      </c>
    </row>
    <row r="12" spans="1:6" ht="21" customHeight="1" x14ac:dyDescent="0.15"/>
    <row r="13" spans="1:6" ht="21" customHeight="1" x14ac:dyDescent="0.15">
      <c r="F13" s="38" t="s">
        <v>20</v>
      </c>
    </row>
    <row r="14" spans="1:6" ht="21" customHeight="1" x14ac:dyDescent="0.15"/>
    <row r="15" spans="1:6" ht="21" customHeight="1" x14ac:dyDescent="0.15">
      <c r="A15" s="47" t="s">
        <v>1</v>
      </c>
      <c r="B15" s="48"/>
      <c r="C15" s="49"/>
      <c r="D15" s="17" t="s">
        <v>2</v>
      </c>
      <c r="E15" s="24" t="s">
        <v>3</v>
      </c>
      <c r="F15" s="17" t="s">
        <v>4</v>
      </c>
    </row>
    <row r="16" spans="1:6" ht="21" customHeight="1" x14ac:dyDescent="0.15">
      <c r="A16" s="50" t="s">
        <v>18</v>
      </c>
      <c r="B16" s="51"/>
      <c r="C16" s="52"/>
      <c r="D16" s="7">
        <v>1</v>
      </c>
      <c r="E16" s="23"/>
      <c r="F16" s="18">
        <f>E16*D16</f>
        <v>0</v>
      </c>
    </row>
    <row r="17" spans="1:6" ht="21" customHeight="1" x14ac:dyDescent="0.15">
      <c r="A17" s="53" t="s">
        <v>19</v>
      </c>
      <c r="B17" s="54"/>
      <c r="C17" s="55"/>
      <c r="D17" s="7"/>
      <c r="E17" s="21"/>
      <c r="F17" s="18">
        <f>SUM(D17*E17)</f>
        <v>0</v>
      </c>
    </row>
    <row r="18" spans="1:6" ht="21" customHeight="1" x14ac:dyDescent="0.15">
      <c r="A18" s="56" t="s">
        <v>24</v>
      </c>
      <c r="B18" s="57"/>
      <c r="C18" s="58"/>
      <c r="D18" s="39"/>
      <c r="E18" s="40">
        <v>180000</v>
      </c>
      <c r="F18" s="41">
        <f>E18</f>
        <v>180000</v>
      </c>
    </row>
    <row r="19" spans="1:6" ht="21" customHeight="1" x14ac:dyDescent="0.15">
      <c r="A19" s="56" t="s">
        <v>25</v>
      </c>
      <c r="B19" s="57"/>
      <c r="C19" s="58"/>
      <c r="D19" s="39"/>
      <c r="E19" s="40"/>
      <c r="F19" s="41">
        <f>E19</f>
        <v>0</v>
      </c>
    </row>
    <row r="20" spans="1:6" ht="21" customHeight="1" x14ac:dyDescent="0.15">
      <c r="A20" s="56" t="s">
        <v>26</v>
      </c>
      <c r="B20" s="57"/>
      <c r="C20" s="58"/>
      <c r="D20" s="39"/>
      <c r="E20" s="40">
        <v>60000</v>
      </c>
      <c r="F20" s="41">
        <f>E20</f>
        <v>60000</v>
      </c>
    </row>
    <row r="21" spans="1:6" ht="21" customHeight="1" x14ac:dyDescent="0.15">
      <c r="A21" s="56" t="s">
        <v>27</v>
      </c>
      <c r="B21" s="57"/>
      <c r="C21" s="58"/>
      <c r="D21" s="39"/>
      <c r="E21" s="40">
        <v>36000</v>
      </c>
      <c r="F21" s="41">
        <f t="shared" ref="F21:F31" si="0">E21</f>
        <v>36000</v>
      </c>
    </row>
    <row r="22" spans="1:6" ht="21" customHeight="1" x14ac:dyDescent="0.15">
      <c r="A22" s="53"/>
      <c r="B22" s="54"/>
      <c r="C22" s="55"/>
      <c r="D22" s="7"/>
      <c r="E22" s="21"/>
      <c r="F22" s="18">
        <f t="shared" si="0"/>
        <v>0</v>
      </c>
    </row>
    <row r="23" spans="1:6" ht="21" customHeight="1" x14ac:dyDescent="0.15">
      <c r="A23" s="53"/>
      <c r="B23" s="54"/>
      <c r="C23" s="55"/>
      <c r="D23" s="7"/>
      <c r="E23" s="21"/>
      <c r="F23" s="18">
        <f t="shared" si="0"/>
        <v>0</v>
      </c>
    </row>
    <row r="24" spans="1:6" ht="21" customHeight="1" x14ac:dyDescent="0.15">
      <c r="A24" s="53"/>
      <c r="B24" s="54"/>
      <c r="C24" s="55"/>
      <c r="D24" s="7"/>
      <c r="E24" s="21"/>
      <c r="F24" s="18">
        <f t="shared" si="0"/>
        <v>0</v>
      </c>
    </row>
    <row r="25" spans="1:6" ht="21" customHeight="1" x14ac:dyDescent="0.15">
      <c r="A25" s="53"/>
      <c r="B25" s="54"/>
      <c r="C25" s="55"/>
      <c r="D25" s="7"/>
      <c r="E25" s="21"/>
      <c r="F25" s="18">
        <f t="shared" si="0"/>
        <v>0</v>
      </c>
    </row>
    <row r="26" spans="1:6" ht="21" customHeight="1" x14ac:dyDescent="0.15">
      <c r="A26" s="53"/>
      <c r="B26" s="54"/>
      <c r="C26" s="55"/>
      <c r="D26" s="7"/>
      <c r="E26" s="21"/>
      <c r="F26" s="18">
        <f t="shared" si="0"/>
        <v>0</v>
      </c>
    </row>
    <row r="27" spans="1:6" ht="21" customHeight="1" x14ac:dyDescent="0.15">
      <c r="A27" s="53"/>
      <c r="B27" s="54"/>
      <c r="C27" s="55"/>
      <c r="D27" s="7"/>
      <c r="E27" s="21"/>
      <c r="F27" s="18">
        <f t="shared" si="0"/>
        <v>0</v>
      </c>
    </row>
    <row r="28" spans="1:6" ht="21" customHeight="1" x14ac:dyDescent="0.15">
      <c r="A28" s="53"/>
      <c r="B28" s="54"/>
      <c r="C28" s="55"/>
      <c r="D28" s="7"/>
      <c r="E28" s="21"/>
      <c r="F28" s="18">
        <f t="shared" si="0"/>
        <v>0</v>
      </c>
    </row>
    <row r="29" spans="1:6" ht="21" customHeight="1" x14ac:dyDescent="0.15">
      <c r="A29" s="53"/>
      <c r="B29" s="54"/>
      <c r="C29" s="55"/>
      <c r="D29" s="7"/>
      <c r="E29" s="21"/>
      <c r="F29" s="18">
        <f t="shared" si="0"/>
        <v>0</v>
      </c>
    </row>
    <row r="30" spans="1:6" ht="21" customHeight="1" x14ac:dyDescent="0.15">
      <c r="A30" s="53"/>
      <c r="B30" s="54"/>
      <c r="C30" s="55"/>
      <c r="D30" s="7"/>
      <c r="E30" s="21"/>
      <c r="F30" s="18">
        <f t="shared" si="0"/>
        <v>0</v>
      </c>
    </row>
    <row r="31" spans="1:6" ht="21" customHeight="1" x14ac:dyDescent="0.15">
      <c r="A31" s="53"/>
      <c r="B31" s="54"/>
      <c r="C31" s="55"/>
      <c r="D31" s="7"/>
      <c r="E31" s="22"/>
      <c r="F31" s="18">
        <f t="shared" si="0"/>
        <v>0</v>
      </c>
    </row>
    <row r="32" spans="1:6" ht="21" customHeight="1" x14ac:dyDescent="0.15">
      <c r="A32" s="8"/>
      <c r="B32" s="9"/>
      <c r="C32" s="59" t="s">
        <v>9</v>
      </c>
      <c r="D32" s="60"/>
      <c r="E32" s="61"/>
      <c r="F32" s="19">
        <f>SUM(F16:F31)</f>
        <v>276000</v>
      </c>
    </row>
    <row r="33" spans="1:6" ht="21" customHeight="1" x14ac:dyDescent="0.15">
      <c r="A33" s="5"/>
      <c r="B33" s="6"/>
      <c r="C33" s="47" t="s">
        <v>16</v>
      </c>
      <c r="D33" s="48"/>
      <c r="E33" s="49"/>
      <c r="F33" s="20">
        <f>SUM(F32*0.1)</f>
        <v>27600</v>
      </c>
    </row>
    <row r="34" spans="1:6" ht="21" customHeight="1" x14ac:dyDescent="0.15">
      <c r="A34" s="10"/>
      <c r="B34" s="11"/>
      <c r="C34" s="59" t="s">
        <v>10</v>
      </c>
      <c r="D34" s="60"/>
      <c r="E34" s="61"/>
      <c r="F34" s="19">
        <f>SUM(F32:F33)</f>
        <v>303600</v>
      </c>
    </row>
    <row r="35" spans="1:6" ht="18" customHeight="1" x14ac:dyDescent="0.15">
      <c r="A35" s="12" t="s">
        <v>11</v>
      </c>
      <c r="B35" s="13"/>
      <c r="C35" s="13"/>
      <c r="D35" s="13"/>
      <c r="E35" s="13"/>
      <c r="F35" s="14"/>
    </row>
    <row r="36" spans="1:6" ht="18" customHeight="1" x14ac:dyDescent="0.15">
      <c r="A36" s="28" t="s">
        <v>21</v>
      </c>
      <c r="B36" s="26"/>
      <c r="C36" s="26"/>
      <c r="D36" s="26"/>
      <c r="E36" s="26"/>
      <c r="F36" s="27"/>
    </row>
    <row r="37" spans="1:6" ht="18" customHeight="1" x14ac:dyDescent="0.15">
      <c r="A37" s="62" t="s">
        <v>22</v>
      </c>
      <c r="B37" s="63"/>
      <c r="C37" s="63"/>
      <c r="D37" s="63"/>
      <c r="E37" s="63"/>
      <c r="F37" s="64"/>
    </row>
    <row r="38" spans="1:6" ht="18" customHeight="1" x14ac:dyDescent="0.15">
      <c r="A38" s="65" t="s">
        <v>23</v>
      </c>
      <c r="B38" s="66"/>
      <c r="C38" s="66"/>
      <c r="D38" s="66"/>
      <c r="E38" s="66"/>
      <c r="F38" s="67"/>
    </row>
  </sheetData>
  <mergeCells count="24">
    <mergeCell ref="C33:E33"/>
    <mergeCell ref="C34:E34"/>
    <mergeCell ref="A37:F37"/>
    <mergeCell ref="A38:F38"/>
    <mergeCell ref="A28:C28"/>
    <mergeCell ref="A29:C29"/>
    <mergeCell ref="A30:C30"/>
    <mergeCell ref="A31:C31"/>
    <mergeCell ref="C32:E32"/>
    <mergeCell ref="A23:C23"/>
    <mergeCell ref="A24:C24"/>
    <mergeCell ref="A25:C25"/>
    <mergeCell ref="A26:C26"/>
    <mergeCell ref="A27:C27"/>
    <mergeCell ref="A18:C18"/>
    <mergeCell ref="A19:C19"/>
    <mergeCell ref="A20:C20"/>
    <mergeCell ref="A21:C21"/>
    <mergeCell ref="A22:C22"/>
    <mergeCell ref="B1:E1"/>
    <mergeCell ref="A3:B3"/>
    <mergeCell ref="A15:C15"/>
    <mergeCell ref="A16:C16"/>
    <mergeCell ref="A17:C17"/>
  </mergeCells>
  <phoneticPr fontId="8"/>
  <conditionalFormatting sqref="A16:A31 D16:F31">
    <cfRule type="expression" dxfId="2" priority="1" stopIfTrue="1">
      <formula>MOD(ROW(),2)=0</formula>
    </cfRule>
  </conditionalFormatting>
  <pageMargins left="0.70866141732283472" right="0.70866141732283472" top="0.74803149606299213" bottom="0.74803149606299213" header="0.31496062992125984" footer="0.31496062992125984"/>
  <pageSetup paperSize="9"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9069-F1CF-48A5-ABAF-EBC8EF1D426B}">
  <dimension ref="A1:F38"/>
  <sheetViews>
    <sheetView showZeros="0" tabSelected="1" zoomScaleNormal="100" workbookViewId="0">
      <selection activeCell="N22" sqref="N22"/>
    </sheetView>
  </sheetViews>
  <sheetFormatPr defaultRowHeight="13.5" x14ac:dyDescent="0.15"/>
  <cols>
    <col min="1" max="1" width="19.125" customWidth="1"/>
    <col min="2" max="2" width="18.125" customWidth="1"/>
    <col min="3" max="4" width="8.625" customWidth="1"/>
    <col min="5" max="5" width="12.125" customWidth="1"/>
    <col min="6" max="6" width="17.75" customWidth="1"/>
  </cols>
  <sheetData>
    <row r="1" spans="1:6" ht="30" customHeight="1" thickTop="1" thickBot="1" x14ac:dyDescent="0.2">
      <c r="B1" s="44" t="s">
        <v>0</v>
      </c>
      <c r="C1" s="45"/>
      <c r="D1" s="45"/>
      <c r="E1" s="45"/>
    </row>
    <row r="2" spans="1:6" ht="21" customHeight="1" thickTop="1" x14ac:dyDescent="0.15">
      <c r="F2" s="37">
        <f ca="1">TODAY()</f>
        <v>46100</v>
      </c>
    </row>
    <row r="3" spans="1:6" ht="21" customHeight="1" x14ac:dyDescent="0.2">
      <c r="A3" s="46" t="s">
        <v>43</v>
      </c>
      <c r="B3" s="46"/>
    </row>
    <row r="4" spans="1:6" ht="21" customHeight="1" x14ac:dyDescent="0.15">
      <c r="A4" s="34" t="s">
        <v>44</v>
      </c>
      <c r="B4" s="34"/>
    </row>
    <row r="5" spans="1:6" ht="21" customHeight="1" x14ac:dyDescent="0.2">
      <c r="A5" s="35" t="s">
        <v>45</v>
      </c>
      <c r="B5" s="36"/>
      <c r="E5" s="15"/>
    </row>
    <row r="6" spans="1:6" ht="18" customHeight="1" x14ac:dyDescent="0.15">
      <c r="A6" s="4" t="s">
        <v>5</v>
      </c>
      <c r="B6" s="3" t="s">
        <v>12</v>
      </c>
    </row>
    <row r="7" spans="1:6" ht="18" customHeight="1" x14ac:dyDescent="0.15">
      <c r="A7" s="4" t="s">
        <v>6</v>
      </c>
      <c r="B7" s="3" t="s">
        <v>13</v>
      </c>
    </row>
    <row r="8" spans="1:6" ht="18" customHeight="1" x14ac:dyDescent="0.15">
      <c r="A8" s="4" t="s">
        <v>7</v>
      </c>
      <c r="B8" s="3" t="s">
        <v>14</v>
      </c>
    </row>
    <row r="9" spans="1:6" ht="18" customHeight="1" x14ac:dyDescent="0.15">
      <c r="A9" s="4" t="s">
        <v>8</v>
      </c>
      <c r="B9" s="3" t="s">
        <v>17</v>
      </c>
    </row>
    <row r="10" spans="1:6" ht="18" customHeight="1" x14ac:dyDescent="0.15"/>
    <row r="11" spans="1:6" ht="18" customHeight="1" x14ac:dyDescent="0.15">
      <c r="A11" t="s">
        <v>15</v>
      </c>
    </row>
    <row r="12" spans="1:6" ht="21" customHeight="1" x14ac:dyDescent="0.15"/>
    <row r="13" spans="1:6" ht="21" customHeight="1" x14ac:dyDescent="0.25">
      <c r="A13" s="43" t="s">
        <v>46</v>
      </c>
      <c r="B13" s="42">
        <f>$F$34</f>
        <v>303600</v>
      </c>
      <c r="F13" s="38" t="s">
        <v>20</v>
      </c>
    </row>
    <row r="14" spans="1:6" ht="21" customHeight="1" x14ac:dyDescent="0.15"/>
    <row r="15" spans="1:6" ht="21" customHeight="1" x14ac:dyDescent="0.15">
      <c r="A15" s="47" t="s">
        <v>1</v>
      </c>
      <c r="B15" s="48"/>
      <c r="C15" s="49"/>
      <c r="D15" s="17" t="s">
        <v>2</v>
      </c>
      <c r="E15" s="24" t="s">
        <v>3</v>
      </c>
      <c r="F15" s="17" t="s">
        <v>4</v>
      </c>
    </row>
    <row r="16" spans="1:6" ht="21" customHeight="1" x14ac:dyDescent="0.15">
      <c r="A16" s="50" t="s">
        <v>18</v>
      </c>
      <c r="B16" s="51"/>
      <c r="C16" s="52"/>
      <c r="D16" s="7">
        <v>1</v>
      </c>
      <c r="E16" s="23"/>
      <c r="F16" s="18">
        <f>E16*D16</f>
        <v>0</v>
      </c>
    </row>
    <row r="17" spans="1:6" ht="21" customHeight="1" x14ac:dyDescent="0.15">
      <c r="A17" s="53" t="s">
        <v>19</v>
      </c>
      <c r="B17" s="54"/>
      <c r="C17" s="55"/>
      <c r="D17" s="7"/>
      <c r="E17" s="21"/>
      <c r="F17" s="18">
        <f>SUM(D17*E17)</f>
        <v>0</v>
      </c>
    </row>
    <row r="18" spans="1:6" ht="21" customHeight="1" x14ac:dyDescent="0.15">
      <c r="A18" s="56" t="s">
        <v>24</v>
      </c>
      <c r="B18" s="57"/>
      <c r="C18" s="58"/>
      <c r="D18" s="39"/>
      <c r="E18" s="40">
        <v>180000</v>
      </c>
      <c r="F18" s="41">
        <f>E18</f>
        <v>180000</v>
      </c>
    </row>
    <row r="19" spans="1:6" ht="21" customHeight="1" x14ac:dyDescent="0.15">
      <c r="A19" s="56" t="s">
        <v>25</v>
      </c>
      <c r="B19" s="57"/>
      <c r="C19" s="58"/>
      <c r="D19" s="39"/>
      <c r="E19" s="40"/>
      <c r="F19" s="41">
        <f>E19</f>
        <v>0</v>
      </c>
    </row>
    <row r="20" spans="1:6" ht="21" customHeight="1" x14ac:dyDescent="0.15">
      <c r="A20" s="56" t="s">
        <v>26</v>
      </c>
      <c r="B20" s="57"/>
      <c r="C20" s="58"/>
      <c r="D20" s="39"/>
      <c r="E20" s="40">
        <v>60000</v>
      </c>
      <c r="F20" s="41">
        <f>E20</f>
        <v>60000</v>
      </c>
    </row>
    <row r="21" spans="1:6" ht="21" customHeight="1" x14ac:dyDescent="0.15">
      <c r="A21" s="56" t="s">
        <v>27</v>
      </c>
      <c r="B21" s="57"/>
      <c r="C21" s="58"/>
      <c r="D21" s="39"/>
      <c r="E21" s="40">
        <v>36000</v>
      </c>
      <c r="F21" s="41">
        <f t="shared" ref="F21:F31" si="0">E21</f>
        <v>36000</v>
      </c>
    </row>
    <row r="22" spans="1:6" ht="21" customHeight="1" x14ac:dyDescent="0.15">
      <c r="A22" s="53"/>
      <c r="B22" s="54"/>
      <c r="C22" s="55"/>
      <c r="D22" s="7"/>
      <c r="E22" s="21"/>
      <c r="F22" s="18">
        <f t="shared" si="0"/>
        <v>0</v>
      </c>
    </row>
    <row r="23" spans="1:6" ht="21" customHeight="1" x14ac:dyDescent="0.15">
      <c r="A23" s="53"/>
      <c r="B23" s="54"/>
      <c r="C23" s="55"/>
      <c r="D23" s="7"/>
      <c r="E23" s="21"/>
      <c r="F23" s="18">
        <f t="shared" si="0"/>
        <v>0</v>
      </c>
    </row>
    <row r="24" spans="1:6" ht="21" customHeight="1" x14ac:dyDescent="0.15">
      <c r="A24" s="53"/>
      <c r="B24" s="54"/>
      <c r="C24" s="55"/>
      <c r="D24" s="7"/>
      <c r="E24" s="21"/>
      <c r="F24" s="18">
        <f t="shared" si="0"/>
        <v>0</v>
      </c>
    </row>
    <row r="25" spans="1:6" ht="21" customHeight="1" x14ac:dyDescent="0.15">
      <c r="A25" s="53"/>
      <c r="B25" s="54"/>
      <c r="C25" s="55"/>
      <c r="D25" s="7"/>
      <c r="E25" s="21"/>
      <c r="F25" s="18">
        <f t="shared" si="0"/>
        <v>0</v>
      </c>
    </row>
    <row r="26" spans="1:6" ht="21" customHeight="1" x14ac:dyDescent="0.15">
      <c r="A26" s="53"/>
      <c r="B26" s="54"/>
      <c r="C26" s="55"/>
      <c r="D26" s="7"/>
      <c r="E26" s="21"/>
      <c r="F26" s="18">
        <f t="shared" si="0"/>
        <v>0</v>
      </c>
    </row>
    <row r="27" spans="1:6" ht="21" customHeight="1" x14ac:dyDescent="0.15">
      <c r="A27" s="53"/>
      <c r="B27" s="54"/>
      <c r="C27" s="55"/>
      <c r="D27" s="7"/>
      <c r="E27" s="21"/>
      <c r="F27" s="18">
        <f t="shared" si="0"/>
        <v>0</v>
      </c>
    </row>
    <row r="28" spans="1:6" ht="21" customHeight="1" x14ac:dyDescent="0.15">
      <c r="A28" s="53"/>
      <c r="B28" s="54"/>
      <c r="C28" s="55"/>
      <c r="D28" s="7"/>
      <c r="E28" s="21"/>
      <c r="F28" s="18">
        <f t="shared" si="0"/>
        <v>0</v>
      </c>
    </row>
    <row r="29" spans="1:6" ht="21" customHeight="1" x14ac:dyDescent="0.15">
      <c r="A29" s="53"/>
      <c r="B29" s="54"/>
      <c r="C29" s="55"/>
      <c r="D29" s="7"/>
      <c r="E29" s="21"/>
      <c r="F29" s="18">
        <f t="shared" si="0"/>
        <v>0</v>
      </c>
    </row>
    <row r="30" spans="1:6" ht="21" customHeight="1" x14ac:dyDescent="0.15">
      <c r="A30" s="53"/>
      <c r="B30" s="54"/>
      <c r="C30" s="55"/>
      <c r="D30" s="7"/>
      <c r="E30" s="21"/>
      <c r="F30" s="18">
        <f t="shared" si="0"/>
        <v>0</v>
      </c>
    </row>
    <row r="31" spans="1:6" ht="21" customHeight="1" x14ac:dyDescent="0.15">
      <c r="A31" s="53"/>
      <c r="B31" s="54"/>
      <c r="C31" s="55"/>
      <c r="D31" s="7"/>
      <c r="E31" s="22"/>
      <c r="F31" s="18">
        <f t="shared" si="0"/>
        <v>0</v>
      </c>
    </row>
    <row r="32" spans="1:6" ht="21" customHeight="1" x14ac:dyDescent="0.15">
      <c r="A32" s="8"/>
      <c r="B32" s="9"/>
      <c r="C32" s="59" t="s">
        <v>9</v>
      </c>
      <c r="D32" s="60"/>
      <c r="E32" s="61"/>
      <c r="F32" s="19">
        <f>SUM(F16:F31)</f>
        <v>276000</v>
      </c>
    </row>
    <row r="33" spans="1:6" ht="21" customHeight="1" x14ac:dyDescent="0.15">
      <c r="A33" s="5"/>
      <c r="B33" s="6"/>
      <c r="C33" s="47" t="s">
        <v>16</v>
      </c>
      <c r="D33" s="48"/>
      <c r="E33" s="49"/>
      <c r="F33" s="20">
        <f>SUM(F32*0.1)</f>
        <v>27600</v>
      </c>
    </row>
    <row r="34" spans="1:6" ht="21" customHeight="1" x14ac:dyDescent="0.15">
      <c r="A34" s="10"/>
      <c r="B34" s="11"/>
      <c r="C34" s="59" t="s">
        <v>10</v>
      </c>
      <c r="D34" s="60"/>
      <c r="E34" s="61"/>
      <c r="F34" s="19">
        <f>SUM(F32:F33)</f>
        <v>303600</v>
      </c>
    </row>
    <row r="35" spans="1:6" ht="18" customHeight="1" x14ac:dyDescent="0.15">
      <c r="A35" s="12" t="s">
        <v>11</v>
      </c>
      <c r="B35" s="13"/>
      <c r="C35" s="13"/>
      <c r="D35" s="13"/>
      <c r="E35" s="13"/>
      <c r="F35" s="14"/>
    </row>
    <row r="36" spans="1:6" ht="18" customHeight="1" x14ac:dyDescent="0.15">
      <c r="A36" s="28" t="s">
        <v>21</v>
      </c>
      <c r="B36" s="26"/>
      <c r="C36" s="26"/>
      <c r="D36" s="26"/>
      <c r="E36" s="26"/>
      <c r="F36" s="27"/>
    </row>
    <row r="37" spans="1:6" ht="18" customHeight="1" x14ac:dyDescent="0.15">
      <c r="A37" s="62" t="s">
        <v>22</v>
      </c>
      <c r="B37" s="63"/>
      <c r="C37" s="63"/>
      <c r="D37" s="63"/>
      <c r="E37" s="63"/>
      <c r="F37" s="64"/>
    </row>
    <row r="38" spans="1:6" ht="18" customHeight="1" x14ac:dyDescent="0.15">
      <c r="A38" s="65" t="s">
        <v>23</v>
      </c>
      <c r="B38" s="66"/>
      <c r="C38" s="66"/>
      <c r="D38" s="66"/>
      <c r="E38" s="66"/>
      <c r="F38" s="67"/>
    </row>
  </sheetData>
  <mergeCells count="24">
    <mergeCell ref="C33:E33"/>
    <mergeCell ref="C34:E34"/>
    <mergeCell ref="A37:F37"/>
    <mergeCell ref="A38:F38"/>
    <mergeCell ref="A28:C28"/>
    <mergeCell ref="A29:C29"/>
    <mergeCell ref="A30:C30"/>
    <mergeCell ref="A31:C31"/>
    <mergeCell ref="C32:E32"/>
    <mergeCell ref="A23:C23"/>
    <mergeCell ref="A24:C24"/>
    <mergeCell ref="A25:C25"/>
    <mergeCell ref="A26:C26"/>
    <mergeCell ref="A27:C27"/>
    <mergeCell ref="A18:C18"/>
    <mergeCell ref="A19:C19"/>
    <mergeCell ref="A20:C20"/>
    <mergeCell ref="A21:C21"/>
    <mergeCell ref="A22:C22"/>
    <mergeCell ref="B1:E1"/>
    <mergeCell ref="A3:B3"/>
    <mergeCell ref="A15:C15"/>
    <mergeCell ref="A16:C16"/>
    <mergeCell ref="A17:C17"/>
  </mergeCells>
  <phoneticPr fontId="8"/>
  <conditionalFormatting sqref="A16:A31 D16:F31">
    <cfRule type="expression" dxfId="1" priority="1" stopIfTrue="1">
      <formula>MOD(ROW(),2)=0</formula>
    </cfRule>
  </conditionalFormatting>
  <pageMargins left="0.70866141732283472" right="0.70866141732283472" top="0.74803149606299213" bottom="0.74803149606299213" header="0.31496062992125984" footer="0.31496062992125984"/>
  <pageSetup paperSize="9" scale="9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57C0-DEE3-45AE-8D93-349AFE3CF60E}">
  <dimension ref="A1:F38"/>
  <sheetViews>
    <sheetView showZeros="0" zoomScaleNormal="100" workbookViewId="0">
      <selection activeCell="E11" sqref="E11"/>
    </sheetView>
  </sheetViews>
  <sheetFormatPr defaultRowHeight="13.5" x14ac:dyDescent="0.15"/>
  <cols>
    <col min="1" max="1" width="19.125" customWidth="1"/>
    <col min="2" max="2" width="18.125" customWidth="1"/>
    <col min="3" max="4" width="8.625" customWidth="1"/>
    <col min="5" max="5" width="12.125" customWidth="1"/>
    <col min="6" max="6" width="17.75" customWidth="1"/>
  </cols>
  <sheetData>
    <row r="1" spans="1:6" ht="30" customHeight="1" thickTop="1" thickBot="1" x14ac:dyDescent="0.2">
      <c r="B1" s="44" t="s">
        <v>0</v>
      </c>
      <c r="C1" s="45"/>
      <c r="D1" s="45"/>
      <c r="E1" s="45"/>
    </row>
    <row r="2" spans="1:6" ht="21" customHeight="1" thickTop="1" x14ac:dyDescent="0.15">
      <c r="F2" s="16">
        <f ca="1">TODAY()</f>
        <v>46100</v>
      </c>
    </row>
    <row r="3" spans="1:6" ht="21" customHeight="1" x14ac:dyDescent="0.2">
      <c r="A3" s="68" t="s">
        <v>43</v>
      </c>
      <c r="B3" s="68"/>
    </row>
    <row r="4" spans="1:6" ht="21" customHeight="1" x14ac:dyDescent="0.15">
      <c r="A4" s="1" t="s">
        <v>44</v>
      </c>
      <c r="B4" s="1"/>
    </row>
    <row r="5" spans="1:6" ht="21" customHeight="1" x14ac:dyDescent="0.2">
      <c r="A5" s="29" t="s">
        <v>45</v>
      </c>
      <c r="B5" s="2"/>
      <c r="E5" s="15"/>
    </row>
    <row r="6" spans="1:6" ht="18" customHeight="1" x14ac:dyDescent="0.15">
      <c r="A6" s="4" t="s">
        <v>5</v>
      </c>
      <c r="B6" s="3" t="s">
        <v>12</v>
      </c>
    </row>
    <row r="7" spans="1:6" ht="18" customHeight="1" x14ac:dyDescent="0.15">
      <c r="A7" s="4" t="s">
        <v>6</v>
      </c>
      <c r="B7" s="3" t="s">
        <v>13</v>
      </c>
    </row>
    <row r="8" spans="1:6" ht="18" customHeight="1" x14ac:dyDescent="0.15">
      <c r="A8" s="4" t="s">
        <v>7</v>
      </c>
      <c r="B8" s="3" t="s">
        <v>14</v>
      </c>
    </row>
    <row r="9" spans="1:6" ht="18" customHeight="1" x14ac:dyDescent="0.15">
      <c r="A9" s="4" t="s">
        <v>8</v>
      </c>
      <c r="B9" s="3" t="s">
        <v>17</v>
      </c>
    </row>
    <row r="10" spans="1:6" ht="18" customHeight="1" x14ac:dyDescent="0.15"/>
    <row r="11" spans="1:6" ht="18" customHeight="1" x14ac:dyDescent="0.15">
      <c r="A11" t="s">
        <v>15</v>
      </c>
    </row>
    <row r="12" spans="1:6" ht="21" customHeight="1" x14ac:dyDescent="0.15"/>
    <row r="13" spans="1:6" ht="21" customHeight="1" x14ac:dyDescent="0.15">
      <c r="F13" s="25" t="s">
        <v>20</v>
      </c>
    </row>
    <row r="14" spans="1:6" ht="21" customHeight="1" x14ac:dyDescent="0.15"/>
    <row r="15" spans="1:6" ht="21" customHeight="1" x14ac:dyDescent="0.15">
      <c r="A15" s="47" t="s">
        <v>1</v>
      </c>
      <c r="B15" s="48"/>
      <c r="C15" s="49"/>
      <c r="D15" s="17" t="s">
        <v>2</v>
      </c>
      <c r="E15" s="24" t="s">
        <v>3</v>
      </c>
      <c r="F15" s="17" t="s">
        <v>4</v>
      </c>
    </row>
    <row r="16" spans="1:6" ht="21" customHeight="1" x14ac:dyDescent="0.15">
      <c r="A16" s="50" t="s">
        <v>18</v>
      </c>
      <c r="B16" s="51"/>
      <c r="C16" s="52"/>
      <c r="D16" s="7">
        <v>1</v>
      </c>
      <c r="E16" s="23"/>
      <c r="F16" s="18">
        <f>E16*D16</f>
        <v>0</v>
      </c>
    </row>
    <row r="17" spans="1:6" ht="21" customHeight="1" x14ac:dyDescent="0.15">
      <c r="A17" s="53" t="s">
        <v>19</v>
      </c>
      <c r="B17" s="54"/>
      <c r="C17" s="55"/>
      <c r="D17" s="7"/>
      <c r="E17" s="21"/>
      <c r="F17" s="18">
        <f>SUM(D17*E17)</f>
        <v>0</v>
      </c>
    </row>
    <row r="18" spans="1:6" ht="21" customHeight="1" x14ac:dyDescent="0.15">
      <c r="A18" s="53" t="s">
        <v>24</v>
      </c>
      <c r="B18" s="54"/>
      <c r="C18" s="55"/>
      <c r="D18" s="7"/>
      <c r="E18" s="21">
        <v>180000</v>
      </c>
      <c r="F18" s="18">
        <f>E18</f>
        <v>180000</v>
      </c>
    </row>
    <row r="19" spans="1:6" ht="21" customHeight="1" x14ac:dyDescent="0.15">
      <c r="A19" s="53" t="s">
        <v>25</v>
      </c>
      <c r="B19" s="54"/>
      <c r="C19" s="55"/>
      <c r="D19" s="7"/>
      <c r="E19" s="21"/>
      <c r="F19" s="18">
        <f>E19</f>
        <v>0</v>
      </c>
    </row>
    <row r="20" spans="1:6" ht="21" customHeight="1" x14ac:dyDescent="0.15">
      <c r="A20" s="53" t="s">
        <v>26</v>
      </c>
      <c r="B20" s="54"/>
      <c r="C20" s="55"/>
      <c r="D20" s="7"/>
      <c r="E20" s="21">
        <v>60000</v>
      </c>
      <c r="F20" s="18">
        <f>E20</f>
        <v>60000</v>
      </c>
    </row>
    <row r="21" spans="1:6" ht="21" customHeight="1" x14ac:dyDescent="0.15">
      <c r="A21" s="53" t="s">
        <v>27</v>
      </c>
      <c r="B21" s="54"/>
      <c r="C21" s="55"/>
      <c r="D21" s="7"/>
      <c r="E21" s="21">
        <v>36000</v>
      </c>
      <c r="F21" s="18">
        <f t="shared" ref="F21:F31" si="0">E21</f>
        <v>36000</v>
      </c>
    </row>
    <row r="22" spans="1:6" ht="21" customHeight="1" x14ac:dyDescent="0.15">
      <c r="A22" s="53"/>
      <c r="B22" s="54"/>
      <c r="C22" s="55"/>
      <c r="D22" s="7"/>
      <c r="E22" s="21"/>
      <c r="F22" s="18">
        <f t="shared" si="0"/>
        <v>0</v>
      </c>
    </row>
    <row r="23" spans="1:6" ht="21" customHeight="1" x14ac:dyDescent="0.15">
      <c r="A23" s="53"/>
      <c r="B23" s="54"/>
      <c r="C23" s="55"/>
      <c r="D23" s="7"/>
      <c r="E23" s="21"/>
      <c r="F23" s="18">
        <f t="shared" si="0"/>
        <v>0</v>
      </c>
    </row>
    <row r="24" spans="1:6" ht="21" customHeight="1" x14ac:dyDescent="0.15">
      <c r="A24" s="53"/>
      <c r="B24" s="54"/>
      <c r="C24" s="55"/>
      <c r="D24" s="7"/>
      <c r="E24" s="21"/>
      <c r="F24" s="18">
        <f t="shared" si="0"/>
        <v>0</v>
      </c>
    </row>
    <row r="25" spans="1:6" ht="21" customHeight="1" x14ac:dyDescent="0.15">
      <c r="A25" s="53"/>
      <c r="B25" s="54"/>
      <c r="C25" s="55"/>
      <c r="D25" s="7"/>
      <c r="E25" s="21"/>
      <c r="F25" s="18">
        <f t="shared" si="0"/>
        <v>0</v>
      </c>
    </row>
    <row r="26" spans="1:6" ht="21" customHeight="1" x14ac:dyDescent="0.15">
      <c r="A26" s="53"/>
      <c r="B26" s="54"/>
      <c r="C26" s="55"/>
      <c r="D26" s="7"/>
      <c r="E26" s="21"/>
      <c r="F26" s="18">
        <f t="shared" si="0"/>
        <v>0</v>
      </c>
    </row>
    <row r="27" spans="1:6" ht="21" customHeight="1" x14ac:dyDescent="0.15">
      <c r="A27" s="53"/>
      <c r="B27" s="54"/>
      <c r="C27" s="55"/>
      <c r="D27" s="7"/>
      <c r="E27" s="21"/>
      <c r="F27" s="18">
        <f t="shared" si="0"/>
        <v>0</v>
      </c>
    </row>
    <row r="28" spans="1:6" ht="21" customHeight="1" x14ac:dyDescent="0.15">
      <c r="A28" s="53"/>
      <c r="B28" s="54"/>
      <c r="C28" s="55"/>
      <c r="D28" s="7"/>
      <c r="E28" s="21"/>
      <c r="F28" s="18">
        <f t="shared" si="0"/>
        <v>0</v>
      </c>
    </row>
    <row r="29" spans="1:6" ht="21" customHeight="1" x14ac:dyDescent="0.15">
      <c r="A29" s="53"/>
      <c r="B29" s="54"/>
      <c r="C29" s="55"/>
      <c r="D29" s="7"/>
      <c r="E29" s="21"/>
      <c r="F29" s="18">
        <f t="shared" si="0"/>
        <v>0</v>
      </c>
    </row>
    <row r="30" spans="1:6" ht="21" customHeight="1" x14ac:dyDescent="0.15">
      <c r="A30" s="53"/>
      <c r="B30" s="54"/>
      <c r="C30" s="55"/>
      <c r="D30" s="7"/>
      <c r="E30" s="21"/>
      <c r="F30" s="18">
        <f t="shared" si="0"/>
        <v>0</v>
      </c>
    </row>
    <row r="31" spans="1:6" ht="21" customHeight="1" x14ac:dyDescent="0.15">
      <c r="A31" s="53"/>
      <c r="B31" s="54"/>
      <c r="C31" s="55"/>
      <c r="D31" s="7"/>
      <c r="E31" s="22"/>
      <c r="F31" s="18">
        <f t="shared" si="0"/>
        <v>0</v>
      </c>
    </row>
    <row r="32" spans="1:6" ht="21" customHeight="1" x14ac:dyDescent="0.15">
      <c r="A32" s="8"/>
      <c r="B32" s="9"/>
      <c r="C32" s="59" t="s">
        <v>9</v>
      </c>
      <c r="D32" s="60"/>
      <c r="E32" s="61"/>
      <c r="F32" s="19">
        <f>SUM(F16:F31)</f>
        <v>276000</v>
      </c>
    </row>
    <row r="33" spans="1:6" ht="21" customHeight="1" x14ac:dyDescent="0.15">
      <c r="A33" s="5"/>
      <c r="B33" s="6"/>
      <c r="C33" s="47" t="s">
        <v>16</v>
      </c>
      <c r="D33" s="48"/>
      <c r="E33" s="49"/>
      <c r="F33" s="20">
        <f>SUM(F32*0.1)</f>
        <v>27600</v>
      </c>
    </row>
    <row r="34" spans="1:6" ht="21" customHeight="1" x14ac:dyDescent="0.15">
      <c r="A34" s="10"/>
      <c r="B34" s="11"/>
      <c r="C34" s="59" t="s">
        <v>10</v>
      </c>
      <c r="D34" s="60"/>
      <c r="E34" s="61"/>
      <c r="F34" s="19">
        <f>SUM(F32:F33)</f>
        <v>303600</v>
      </c>
    </row>
    <row r="35" spans="1:6" ht="18" customHeight="1" x14ac:dyDescent="0.15">
      <c r="A35" s="12" t="s">
        <v>11</v>
      </c>
      <c r="B35" s="13"/>
      <c r="C35" s="13"/>
      <c r="D35" s="13"/>
      <c r="E35" s="13"/>
      <c r="F35" s="14"/>
    </row>
    <row r="36" spans="1:6" ht="18" customHeight="1" x14ac:dyDescent="0.15">
      <c r="A36" s="28" t="s">
        <v>21</v>
      </c>
      <c r="B36" s="26"/>
      <c r="C36" s="26"/>
      <c r="D36" s="26"/>
      <c r="E36" s="26"/>
      <c r="F36" s="27"/>
    </row>
    <row r="37" spans="1:6" ht="18" customHeight="1" x14ac:dyDescent="0.15">
      <c r="A37" s="62" t="s">
        <v>22</v>
      </c>
      <c r="B37" s="63"/>
      <c r="C37" s="63"/>
      <c r="D37" s="63"/>
      <c r="E37" s="63"/>
      <c r="F37" s="64"/>
    </row>
    <row r="38" spans="1:6" ht="18" customHeight="1" x14ac:dyDescent="0.15">
      <c r="A38" s="65" t="s">
        <v>23</v>
      </c>
      <c r="B38" s="66"/>
      <c r="C38" s="66"/>
      <c r="D38" s="66"/>
      <c r="E38" s="66"/>
      <c r="F38" s="67"/>
    </row>
  </sheetData>
  <mergeCells count="24">
    <mergeCell ref="A19:C19"/>
    <mergeCell ref="A18:C18"/>
    <mergeCell ref="A27:C27"/>
    <mergeCell ref="A20:C20"/>
    <mergeCell ref="A22:C22"/>
    <mergeCell ref="A24:C24"/>
    <mergeCell ref="A21:C21"/>
    <mergeCell ref="A23:C23"/>
    <mergeCell ref="A25:C25"/>
    <mergeCell ref="B1:E1"/>
    <mergeCell ref="A3:B3"/>
    <mergeCell ref="A15:C15"/>
    <mergeCell ref="A16:C16"/>
    <mergeCell ref="A17:C17"/>
    <mergeCell ref="A26:C26"/>
    <mergeCell ref="A28:C28"/>
    <mergeCell ref="A29:C29"/>
    <mergeCell ref="A30:C30"/>
    <mergeCell ref="A31:C31"/>
    <mergeCell ref="C34:E34"/>
    <mergeCell ref="C32:E32"/>
    <mergeCell ref="C33:E33"/>
    <mergeCell ref="A37:F37"/>
    <mergeCell ref="A38:F38"/>
  </mergeCells>
  <phoneticPr fontId="2"/>
  <conditionalFormatting sqref="A16:A31 D16:F31">
    <cfRule type="expression" dxfId="0" priority="1" stopIfTrue="1">
      <formula>MOD(ROW(),2)=0</formula>
    </cfRule>
  </conditionalFormatting>
  <pageMargins left="0.70866141732283472" right="0.70866141732283472" top="0.74803149606299213" bottom="0.74803149606299213" header="0.31496062992125984" footer="0.31496062992125984"/>
  <pageSetup paperSize="9" scale="9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8789-9FA3-458E-9678-7AF888268F8E}">
  <dimension ref="B2:G10"/>
  <sheetViews>
    <sheetView zoomScale="115" zoomScaleNormal="115" workbookViewId="0">
      <selection activeCell="D22" sqref="D22"/>
    </sheetView>
  </sheetViews>
  <sheetFormatPr defaultRowHeight="13.5" x14ac:dyDescent="0.15"/>
  <cols>
    <col min="2" max="2" width="28" customWidth="1"/>
    <col min="3" max="3" width="12.375" customWidth="1"/>
    <col min="4" max="6" width="10.125" bestFit="1" customWidth="1"/>
    <col min="7" max="7" width="11.375" customWidth="1"/>
  </cols>
  <sheetData>
    <row r="2" spans="2:7" x14ac:dyDescent="0.15">
      <c r="B2" s="69" t="s">
        <v>41</v>
      </c>
      <c r="C2" s="69" t="s">
        <v>39</v>
      </c>
      <c r="D2" s="69"/>
      <c r="E2" s="69"/>
      <c r="F2" s="69"/>
      <c r="G2" s="69"/>
    </row>
    <row r="3" spans="2:7" ht="27" customHeight="1" x14ac:dyDescent="0.15">
      <c r="B3" s="71"/>
      <c r="C3" s="30" t="s">
        <v>28</v>
      </c>
      <c r="D3" s="30" t="s">
        <v>29</v>
      </c>
      <c r="E3" s="30" t="s">
        <v>30</v>
      </c>
      <c r="F3" s="30" t="s">
        <v>31</v>
      </c>
      <c r="G3" s="30" t="s">
        <v>32</v>
      </c>
    </row>
    <row r="4" spans="2:7" ht="24.95" customHeight="1" x14ac:dyDescent="0.15">
      <c r="B4" s="31" t="s">
        <v>42</v>
      </c>
      <c r="C4" s="32">
        <v>120000</v>
      </c>
      <c r="D4" s="32">
        <v>150000</v>
      </c>
      <c r="E4" s="32">
        <v>180000</v>
      </c>
      <c r="F4" s="32">
        <v>210000</v>
      </c>
      <c r="G4" s="32">
        <v>240000</v>
      </c>
    </row>
    <row r="5" spans="2:7" ht="25.5" customHeight="1" x14ac:dyDescent="0.15">
      <c r="B5" s="31" t="s">
        <v>33</v>
      </c>
      <c r="C5" s="32">
        <v>36000</v>
      </c>
      <c r="D5" s="70" t="s">
        <v>40</v>
      </c>
      <c r="E5" s="70"/>
      <c r="F5" s="70"/>
      <c r="G5" s="70"/>
    </row>
    <row r="6" spans="2:7" ht="24.6" customHeight="1" x14ac:dyDescent="0.15">
      <c r="B6" s="33" t="s">
        <v>34</v>
      </c>
      <c r="C6" s="32">
        <v>60000</v>
      </c>
      <c r="D6" s="70"/>
      <c r="E6" s="70"/>
      <c r="F6" s="70"/>
      <c r="G6" s="70"/>
    </row>
    <row r="7" spans="2:7" ht="24.95" customHeight="1" x14ac:dyDescent="0.15">
      <c r="B7" s="31" t="s">
        <v>35</v>
      </c>
      <c r="C7" s="32">
        <v>60000</v>
      </c>
      <c r="D7" s="70"/>
      <c r="E7" s="70"/>
      <c r="F7" s="70"/>
      <c r="G7" s="70"/>
    </row>
    <row r="8" spans="2:7" ht="24.95" customHeight="1" x14ac:dyDescent="0.15">
      <c r="B8" s="31" t="s">
        <v>36</v>
      </c>
      <c r="C8" s="32">
        <v>36000</v>
      </c>
      <c r="D8" s="70"/>
      <c r="E8" s="70"/>
      <c r="F8" s="70"/>
      <c r="G8" s="70"/>
    </row>
    <row r="9" spans="2:7" ht="24.95" customHeight="1" x14ac:dyDescent="0.15">
      <c r="B9" s="31" t="s">
        <v>37</v>
      </c>
      <c r="C9" s="32">
        <v>60000</v>
      </c>
      <c r="D9" s="70"/>
      <c r="E9" s="70"/>
      <c r="F9" s="70"/>
      <c r="G9" s="70"/>
    </row>
    <row r="10" spans="2:7" ht="24.95" customHeight="1" x14ac:dyDescent="0.15">
      <c r="B10" s="31" t="s">
        <v>38</v>
      </c>
      <c r="C10" s="32">
        <v>60000</v>
      </c>
      <c r="D10" s="70"/>
      <c r="E10" s="70"/>
      <c r="F10" s="70"/>
      <c r="G10" s="70"/>
    </row>
  </sheetData>
  <mergeCells count="3">
    <mergeCell ref="C2:G2"/>
    <mergeCell ref="D5:G10"/>
    <mergeCell ref="B2:B3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テンプレ(旧)</vt:lpstr>
      <vt:lpstr>テンプレ (2)</vt:lpstr>
      <vt:lpstr>見積書</vt:lpstr>
      <vt:lpstr>【参考】保守料金価格</vt:lpstr>
    </vt:vector>
  </TitlesOfParts>
  <Company>データロジック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椿 千草</dc:creator>
  <cp:lastModifiedBy>インフォメーションセンター データロジック</cp:lastModifiedBy>
  <cp:lastPrinted>2026-03-19T03:29:13Z</cp:lastPrinted>
  <dcterms:created xsi:type="dcterms:W3CDTF">1999-07-12T00:31:55Z</dcterms:created>
  <dcterms:modified xsi:type="dcterms:W3CDTF">2026-03-19T04:49:06Z</dcterms:modified>
</cp:coreProperties>
</file>