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_Sawae\Downloads\"/>
    </mc:Choice>
  </mc:AlternateContent>
  <xr:revisionPtr revIDLastSave="0" documentId="8_{7D6778F6-400F-4187-AF09-5E43EF3044E6}" xr6:coauthVersionLast="47" xr6:coauthVersionMax="47" xr10:uidLastSave="{00000000-0000-0000-0000-000000000000}"/>
  <bookViews>
    <workbookView xWindow="-120" yWindow="-120" windowWidth="29040" windowHeight="15720" xr2:uid="{EEFAC127-C7E3-46DA-A40E-DEE071B6FD02}"/>
  </bookViews>
  <sheets>
    <sheet name="テンプ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32" i="1" s="1"/>
  <c r="F2" i="1"/>
  <c r="F33" i="1" l="1"/>
  <c r="F34" i="1" s="1"/>
  <c r="B13" i="1" s="1"/>
</calcChain>
</file>

<file path=xl/sharedStrings.xml><?xml version="1.0" encoding="utf-8"?>
<sst xmlns="http://schemas.openxmlformats.org/spreadsheetml/2006/main" count="32" uniqueCount="32">
  <si>
    <t>御　見　積　書</t>
    <rPh sb="0" eb="1">
      <t>オ</t>
    </rPh>
    <rPh sb="2" eb="7">
      <t>オミツモリショ</t>
    </rPh>
    <phoneticPr fontId="4"/>
  </si>
  <si>
    <t>〇〇株式会社　御中</t>
    <rPh sb="2" eb="6">
      <t>カブシキガイシャ</t>
    </rPh>
    <phoneticPr fontId="4"/>
  </si>
  <si>
    <t>住所　〒000-0000</t>
    <rPh sb="0" eb="2">
      <t>ジュウショ</t>
    </rPh>
    <phoneticPr fontId="4"/>
  </si>
  <si>
    <t>〇〇県○○市〇丁目〇-〇</t>
    <rPh sb="0" eb="3">
      <t>マルマルケン</t>
    </rPh>
    <rPh sb="5" eb="6">
      <t>シ</t>
    </rPh>
    <rPh sb="7" eb="9">
      <t>チョウメ</t>
    </rPh>
    <phoneticPr fontId="4"/>
  </si>
  <si>
    <t>納入場所</t>
    <rPh sb="0" eb="2">
      <t>ノウニュウ</t>
    </rPh>
    <rPh sb="2" eb="4">
      <t>バショ</t>
    </rPh>
    <phoneticPr fontId="4"/>
  </si>
  <si>
    <t>貴社事務所</t>
    <rPh sb="0" eb="2">
      <t>キシャ</t>
    </rPh>
    <rPh sb="2" eb="4">
      <t>ジム</t>
    </rPh>
    <rPh sb="4" eb="5">
      <t>ショ</t>
    </rPh>
    <phoneticPr fontId="4"/>
  </si>
  <si>
    <t>見積書有効期限</t>
    <rPh sb="0" eb="3">
      <t>ミツモリショ</t>
    </rPh>
    <rPh sb="3" eb="5">
      <t>ユウコウ</t>
    </rPh>
    <rPh sb="5" eb="7">
      <t>キゲン</t>
    </rPh>
    <phoneticPr fontId="4"/>
  </si>
  <si>
    <t>１ヶ月</t>
    <rPh sb="2" eb="3">
      <t>ゲツ</t>
    </rPh>
    <phoneticPr fontId="4"/>
  </si>
  <si>
    <t>納入期限</t>
    <rPh sb="0" eb="2">
      <t>ノウニュウ</t>
    </rPh>
    <rPh sb="2" eb="4">
      <t>キゲン</t>
    </rPh>
    <phoneticPr fontId="4"/>
  </si>
  <si>
    <t>別途御打合わせ</t>
    <rPh sb="0" eb="5">
      <t>ベットオウチア</t>
    </rPh>
    <phoneticPr fontId="4"/>
  </si>
  <si>
    <t>支払条件</t>
    <rPh sb="0" eb="2">
      <t>シハライ</t>
    </rPh>
    <rPh sb="2" eb="4">
      <t>ジョウケン</t>
    </rPh>
    <phoneticPr fontId="4"/>
  </si>
  <si>
    <t>現金振り込み</t>
    <rPh sb="0" eb="3">
      <t>ゲンキンフ</t>
    </rPh>
    <rPh sb="4" eb="5">
      <t>コ</t>
    </rPh>
    <phoneticPr fontId="4"/>
  </si>
  <si>
    <t>下記の通りお見積申し上げます。</t>
    <rPh sb="0" eb="2">
      <t>カキ</t>
    </rPh>
    <rPh sb="3" eb="4">
      <t>トオ</t>
    </rPh>
    <phoneticPr fontId="4"/>
  </si>
  <si>
    <t>御見積金額</t>
    <phoneticPr fontId="2"/>
  </si>
  <si>
    <t>担当：倉増</t>
    <rPh sb="0" eb="2">
      <t>タントウ</t>
    </rPh>
    <rPh sb="3" eb="5">
      <t>クラマシ</t>
    </rPh>
    <phoneticPr fontId="4"/>
  </si>
  <si>
    <t>品　　　　名</t>
    <rPh sb="0" eb="6">
      <t>ヒンメイ</t>
    </rPh>
    <phoneticPr fontId="4"/>
  </si>
  <si>
    <t>数　量</t>
    <rPh sb="0" eb="3">
      <t>スウリョウ</t>
    </rPh>
    <phoneticPr fontId="4"/>
  </si>
  <si>
    <t>単　　価</t>
    <rPh sb="0" eb="4">
      <t>タンカ</t>
    </rPh>
    <phoneticPr fontId="4"/>
  </si>
  <si>
    <t>金　　額</t>
    <rPh sb="0" eb="4">
      <t>キンガク</t>
    </rPh>
    <phoneticPr fontId="4"/>
  </si>
  <si>
    <t>ソフトウェア保守サービス DL Care(年額）</t>
    <rPh sb="6" eb="8">
      <t>ホシュ</t>
    </rPh>
    <rPh sb="21" eb="23">
      <t>ネンガク</t>
    </rPh>
    <phoneticPr fontId="4"/>
  </si>
  <si>
    <t>【内訳（対象ソフトウェア）】</t>
    <rPh sb="1" eb="3">
      <t>ウチワケ</t>
    </rPh>
    <rPh sb="4" eb="6">
      <t>タイショウ</t>
    </rPh>
    <phoneticPr fontId="4"/>
  </si>
  <si>
    <t>┣S/F REAL４　(3台分:\180,000)</t>
    <rPh sb="13" eb="15">
      <t>ダイブン</t>
    </rPh>
    <phoneticPr fontId="4"/>
  </si>
  <si>
    <t>┣S/F Arris4(3台分)　</t>
    <phoneticPr fontId="4"/>
  </si>
  <si>
    <t>┣S/F NCあなあけ3（\60,000）</t>
    <phoneticPr fontId="4"/>
  </si>
  <si>
    <t>┗S/F 最適取合・見積積算（\36,000)</t>
    <rPh sb="5" eb="7">
      <t>サイテキ</t>
    </rPh>
    <rPh sb="7" eb="9">
      <t>トリア</t>
    </rPh>
    <rPh sb="10" eb="14">
      <t>ミツモリセキサン</t>
    </rPh>
    <phoneticPr fontId="4"/>
  </si>
  <si>
    <t>小　　　計</t>
    <rPh sb="0" eb="1">
      <t>ショウ</t>
    </rPh>
    <rPh sb="4" eb="5">
      <t>ケイ</t>
    </rPh>
    <phoneticPr fontId="4"/>
  </si>
  <si>
    <t>消   費   税</t>
    <rPh sb="0" eb="1">
      <t>ショウ</t>
    </rPh>
    <rPh sb="4" eb="5">
      <t>ヒ</t>
    </rPh>
    <rPh sb="8" eb="9">
      <t>ゼイ</t>
    </rPh>
    <phoneticPr fontId="4"/>
  </si>
  <si>
    <t>合　　　計</t>
    <rPh sb="0" eb="5">
      <t>ゴウケイ</t>
    </rPh>
    <phoneticPr fontId="4"/>
  </si>
  <si>
    <t>備　　考</t>
    <rPh sb="0" eb="4">
      <t>ビコウ</t>
    </rPh>
    <phoneticPr fontId="4"/>
  </si>
  <si>
    <t>・DL Careは年間契約（1年ごとの自動更新）となります。</t>
    <phoneticPr fontId="4"/>
  </si>
  <si>
    <t>※正式なご契約は、別途契約書にて取り交わさせていただきます。</t>
    <phoneticPr fontId="4"/>
  </si>
  <si>
    <t>・カスタム講習、入力代行サービスは都度お見積りの上、別途費用を頂きます。</t>
    <rPh sb="5" eb="7">
      <t>コウシュウ</t>
    </rPh>
    <rPh sb="8" eb="12">
      <t>ニュウリョクダイコウ</t>
    </rPh>
    <rPh sb="17" eb="19">
      <t>ツド</t>
    </rPh>
    <rPh sb="20" eb="22">
      <t>ミツモ</t>
    </rPh>
    <rPh sb="24" eb="25">
      <t>ウエ</t>
    </rPh>
    <rPh sb="26" eb="28">
      <t>ベット</t>
    </rPh>
    <rPh sb="28" eb="30">
      <t>ヒヨウ</t>
    </rPh>
    <rPh sb="31" eb="32">
      <t>イタダ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</si>
</sst>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#,###&quot;円&quot;"/>
    <numFmt numFmtId="177" formatCode="#,##0_);\(#,##0\)"/>
  </numFmts>
  <fonts count="10" x14ac:knownFonts="1">
    <font>
      <sz val="11"/>
      <name val="ＭＳ Ｐ明朝"/>
      <family val="1"/>
      <charset val="128"/>
    </font>
    <font>
      <sz val="11"/>
      <name val="ＭＳ Ｐ明朝"/>
      <family val="1"/>
      <charset val="128"/>
    </font>
    <font>
      <sz val="6"/>
      <name val="ＭＳ Ｐ明朝"/>
      <family val="1"/>
      <charset val="128"/>
    </font>
    <font>
      <b/>
      <sz val="16"/>
      <name val="ＭＳ Ｐ明朝"/>
      <family val="1"/>
      <charset val="128"/>
    </font>
    <font>
      <sz val="6"/>
      <name val="ＭＳ Ｐゴシック"/>
      <family val="3"/>
      <charset val="128"/>
    </font>
    <font>
      <sz val="14"/>
      <name val="ＭＳ Ｐ明朝"/>
      <family val="1"/>
      <charset val="128"/>
    </font>
    <font>
      <sz val="10"/>
      <name val="ＭＳ Ｐ明朝"/>
      <family val="1"/>
      <charset val="128"/>
    </font>
    <font>
      <sz val="14"/>
      <name val="HGP明朝B"/>
      <family val="1"/>
      <charset val="128"/>
    </font>
    <font>
      <sz val="20"/>
      <name val="ＭＳ Ｐ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6" fontId="9" fillId="0" borderId="0" applyFont="0" applyFill="0" applyBorder="0" applyAlignment="0" applyProtection="0"/>
    <xf numFmtId="0" fontId="9" fillId="0" borderId="0"/>
  </cellStyleXfs>
  <cellXfs count="5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4" xfId="0" applyFont="1" applyBorder="1"/>
    <xf numFmtId="0" fontId="7" fillId="0" borderId="0" xfId="0" applyFont="1" applyAlignment="1">
      <alignment horizontal="left" vertical="top" indent="1"/>
    </xf>
    <xf numFmtId="176" fontId="8" fillId="0" borderId="0" xfId="0" applyNumberFormat="1" applyFont="1"/>
    <xf numFmtId="0" fontId="1" fillId="0" borderId="10" xfId="0" applyFont="1" applyBorder="1" applyAlignment="1">
      <alignment horizontal="center"/>
    </xf>
    <xf numFmtId="177" fontId="1" fillId="0" borderId="8" xfId="0" applyNumberFormat="1" applyFont="1" applyBorder="1"/>
    <xf numFmtId="177" fontId="1" fillId="0" borderId="10" xfId="1" applyNumberFormat="1" applyFont="1" applyBorder="1" applyAlignment="1">
      <alignment horizontal="right"/>
    </xf>
    <xf numFmtId="177" fontId="1" fillId="0" borderId="11" xfId="0" applyNumberFormat="1" applyFont="1" applyBorder="1"/>
    <xf numFmtId="177" fontId="1" fillId="0" borderId="13" xfId="0" applyNumberFormat="1" applyFont="1" applyBorder="1"/>
    <xf numFmtId="0" fontId="1" fillId="0" borderId="8" xfId="2" applyFont="1" applyBorder="1" applyAlignment="1">
      <alignment horizontal="left"/>
    </xf>
    <xf numFmtId="0" fontId="1" fillId="0" borderId="9" xfId="2" applyFont="1" applyBorder="1" applyAlignment="1">
      <alignment horizontal="left" indent="2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1" fillId="0" borderId="7" xfId="1" applyNumberFormat="1" applyFont="1" applyBorder="1" applyAlignment="1">
      <alignment horizontal="right"/>
    </xf>
    <xf numFmtId="0" fontId="1" fillId="0" borderId="11" xfId="2" applyFont="1" applyBorder="1" applyAlignment="1">
      <alignment horizontal="left"/>
    </xf>
    <xf numFmtId="0" fontId="1" fillId="0" borderId="12" xfId="2" applyFont="1" applyBorder="1"/>
    <xf numFmtId="176" fontId="1" fillId="0" borderId="10" xfId="1" applyNumberFormat="1" applyFont="1" applyBorder="1" applyAlignment="1">
      <alignment horizontal="right"/>
    </xf>
    <xf numFmtId="0" fontId="1" fillId="0" borderId="13" xfId="0" applyFont="1" applyBorder="1"/>
    <xf numFmtId="0" fontId="1" fillId="0" borderId="14" xfId="0" applyFont="1" applyBorder="1"/>
    <xf numFmtId="0" fontId="1" fillId="0" borderId="8" xfId="0" applyFont="1" applyBorder="1"/>
    <xf numFmtId="0" fontId="1" fillId="0" borderId="0" xfId="0" applyFont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0" xfId="0" applyFont="1"/>
    <xf numFmtId="0" fontId="1" fillId="0" borderId="1" xfId="0" applyFont="1" applyBorder="1"/>
    <xf numFmtId="31" fontId="1" fillId="0" borderId="0" xfId="0" applyNumberFormat="1" applyFont="1"/>
    <xf numFmtId="0" fontId="5" fillId="0" borderId="2" xfId="0" applyFont="1" applyBorder="1" applyAlignment="1">
      <alignment horizontal="center"/>
    </xf>
    <xf numFmtId="0" fontId="1" fillId="0" borderId="3" xfId="0" applyFont="1" applyBorder="1"/>
    <xf numFmtId="0" fontId="6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2" xfId="0" applyFont="1" applyBorder="1" applyAlignment="1">
      <alignment horizontal="right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2" applyFont="1" applyBorder="1" applyAlignment="1">
      <alignment horizontal="left"/>
    </xf>
    <xf numFmtId="0" fontId="1" fillId="0" borderId="3" xfId="2" applyFont="1" applyBorder="1" applyAlignment="1">
      <alignment horizontal="left"/>
    </xf>
    <xf numFmtId="0" fontId="1" fillId="0" borderId="9" xfId="2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0" xfId="2" applyFont="1" applyAlignment="1">
      <alignment horizontal="left"/>
    </xf>
    <xf numFmtId="0" fontId="1" fillId="0" borderId="12" xfId="2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1" xfId="0" applyFont="1" applyBorder="1"/>
    <xf numFmtId="0" fontId="1" fillId="0" borderId="0" xfId="0" applyFont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4" xfId="0" applyFont="1" applyBorder="1" applyAlignment="1">
      <alignment horizontal="left"/>
    </xf>
  </cellXfs>
  <cellStyles count="3">
    <cellStyle name="通貨" xfId="1" builtinId="7"/>
    <cellStyle name="標準" xfId="0" builtinId="0"/>
    <cellStyle name="標準_見積書D" xfId="2" xr:uid="{88B738C2-2E56-4A60-B978-D84AABD33FCA}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13</xdr:row>
      <xdr:rowOff>3082</xdr:rowOff>
    </xdr:from>
    <xdr:to>
      <xdr:col>2</xdr:col>
      <xdr:colOff>457201</xdr:colOff>
      <xdr:row>13</xdr:row>
      <xdr:rowOff>3082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D47B3D3-8B68-417F-81D6-074603D9327C}"/>
            </a:ext>
          </a:extLst>
        </xdr:cNvPr>
        <xdr:cNvCxnSpPr/>
      </xdr:nvCxnSpPr>
      <xdr:spPr bwMode="auto">
        <a:xfrm>
          <a:off x="123825" y="3355882"/>
          <a:ext cx="317182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644801</xdr:colOff>
      <xdr:row>2</xdr:row>
      <xdr:rowOff>63777</xdr:rowOff>
    </xdr:from>
    <xdr:to>
      <xdr:col>5</xdr:col>
      <xdr:colOff>1312770</xdr:colOff>
      <xdr:row>9</xdr:row>
      <xdr:rowOff>138044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12621A1-3A7A-9C0C-C869-A585BA02E045}"/>
            </a:ext>
          </a:extLst>
        </xdr:cNvPr>
        <xdr:cNvSpPr txBox="1"/>
      </xdr:nvSpPr>
      <xdr:spPr>
        <a:xfrm>
          <a:off x="4140476" y="711477"/>
          <a:ext cx="2249119" cy="17887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500"/>
            </a:lnSpc>
          </a:pPr>
          <a:endParaRPr kumimoji="1" lang="en-US" altLang="ja-JP" sz="1200">
            <a:latin typeface="HGS明朝B" panose="02020800000000000000" pitchFamily="18" charset="-128"/>
            <a:ea typeface="HGS明朝B" panose="02020800000000000000" pitchFamily="18" charset="-128"/>
          </a:endParaRPr>
        </a:p>
        <a:p>
          <a:pPr>
            <a:lnSpc>
              <a:spcPts val="1500"/>
            </a:lnSpc>
          </a:pPr>
          <a:endParaRPr kumimoji="1" lang="en-US" altLang="ja-JP" sz="1200">
            <a:latin typeface="HGS明朝B" panose="02020800000000000000" pitchFamily="18" charset="-128"/>
            <a:ea typeface="HGS明朝B" panose="02020800000000000000" pitchFamily="18" charset="-128"/>
          </a:endParaRPr>
        </a:p>
        <a:p>
          <a:endParaRPr kumimoji="1" lang="en-US" altLang="ja-JP" sz="600">
            <a:latin typeface="HGS明朝B" panose="02020800000000000000" pitchFamily="18" charset="-128"/>
            <a:ea typeface="HGS明朝B" panose="02020800000000000000" pitchFamily="18" charset="-128"/>
          </a:endParaRPr>
        </a:p>
        <a:p>
          <a:r>
            <a:rPr kumimoji="1" lang="ja-JP" altLang="en-US" sz="1200">
              <a:latin typeface="HGS明朝B" panose="02020800000000000000" pitchFamily="18" charset="-128"/>
              <a:ea typeface="HGS明朝B" panose="02020800000000000000" pitchFamily="18" charset="-128"/>
            </a:rPr>
            <a:t> </a:t>
          </a:r>
          <a:r>
            <a:rPr kumimoji="1" lang="ja-JP" altLang="en-US" sz="1200">
              <a:latin typeface="ＭＳ Ｐ明朝" panose="02020600040205080304" pitchFamily="18" charset="-128"/>
              <a:ea typeface="ＭＳ Ｐ明朝" panose="02020600040205080304" pitchFamily="18" charset="-128"/>
            </a:rPr>
            <a:t>株式会社データロジック</a:t>
          </a:r>
          <a:endParaRPr kumimoji="1" lang="en-US" altLang="ja-JP" sz="12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endParaRPr kumimoji="1" lang="en-US" altLang="ja-JP" sz="10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r>
            <a:rPr kumimoji="1" lang="ja-JP" altLang="en-US" sz="1100">
              <a:latin typeface="ＭＳ Ｐ明朝" panose="02020600040205080304" pitchFamily="18" charset="-128"/>
              <a:ea typeface="ＭＳ Ｐ明朝" panose="02020600040205080304" pitchFamily="18" charset="-128"/>
            </a:rPr>
            <a:t> 代表取締役　波田　政幸</a:t>
          </a:r>
          <a:endParaRPr kumimoji="1" lang="en-US" altLang="ja-JP" sz="11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r>
            <a:rPr kumimoji="1" lang="ja-JP" altLang="en-US" sz="1100">
              <a:latin typeface="ＭＳ Ｐ明朝" panose="02020600040205080304" pitchFamily="18" charset="-128"/>
              <a:ea typeface="ＭＳ Ｐ明朝" panose="02020600040205080304" pitchFamily="18" charset="-128"/>
            </a:rPr>
            <a:t>　  </a:t>
          </a:r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〒</a:t>
          </a:r>
          <a:r>
            <a:rPr kumimoji="1" lang="en-US" altLang="ja-JP" sz="1000">
              <a:latin typeface="ＭＳ Ｐ明朝" panose="02020600040205080304" pitchFamily="18" charset="-128"/>
              <a:ea typeface="ＭＳ Ｐ明朝" panose="02020600040205080304" pitchFamily="18" charset="-128"/>
            </a:rPr>
            <a:t>759-3113</a:t>
          </a:r>
        </a:p>
        <a:p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　     山口県萩市江崎</a:t>
          </a:r>
          <a:r>
            <a:rPr kumimoji="1" lang="en-US" altLang="ja-JP" sz="1000">
              <a:latin typeface="ＭＳ Ｐ明朝" panose="02020600040205080304" pitchFamily="18" charset="-128"/>
              <a:ea typeface="ＭＳ Ｐ明朝" panose="02020600040205080304" pitchFamily="18" charset="-128"/>
            </a:rPr>
            <a:t>25-1</a:t>
          </a:r>
        </a:p>
        <a:p>
          <a:pPr lvl="0"/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　     </a:t>
          </a:r>
          <a:r>
            <a:rPr kumimoji="1" lang="en-US" altLang="ja-JP" sz="900">
              <a:latin typeface="ＭＳ Ｐ明朝" panose="02020600040205080304" pitchFamily="18" charset="-128"/>
              <a:ea typeface="ＭＳ Ｐ明朝" panose="02020600040205080304" pitchFamily="18" charset="-128"/>
            </a:rPr>
            <a:t>TEL</a:t>
          </a:r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　 </a:t>
          </a:r>
          <a:r>
            <a:rPr kumimoji="1" lang="en-US" altLang="ja-JP" sz="1000">
              <a:latin typeface="ＭＳ Ｐ明朝" panose="02020600040205080304" pitchFamily="18" charset="-128"/>
              <a:ea typeface="ＭＳ Ｐ明朝" panose="02020600040205080304" pitchFamily="18" charset="-128"/>
            </a:rPr>
            <a:t>08387-2-1129</a:t>
          </a:r>
        </a:p>
        <a:p>
          <a:r>
            <a:rPr kumimoji="1" lang="ja-JP" altLang="en-US" sz="1000">
              <a:latin typeface="ＭＳ Ｐ明朝" panose="02020600040205080304" pitchFamily="18" charset="-128"/>
              <a:ea typeface="ＭＳ Ｐ明朝" panose="02020600040205080304" pitchFamily="18" charset="-128"/>
            </a:rPr>
            <a:t>　     </a:t>
          </a:r>
          <a:r>
            <a:rPr kumimoji="1" lang="en-US" altLang="ja-JP" sz="900">
              <a:latin typeface="ＭＳ Ｐ明朝" panose="02020600040205080304" pitchFamily="18" charset="-128"/>
              <a:ea typeface="ＭＳ Ｐ明朝" panose="02020600040205080304" pitchFamily="18" charset="-128"/>
            </a:rPr>
            <a:t>FAX</a:t>
          </a:r>
          <a:r>
            <a:rPr kumimoji="1" lang="en-US" altLang="ja-JP" sz="1000" baseline="0">
              <a:latin typeface="ＭＳ Ｐ明朝" panose="02020600040205080304" pitchFamily="18" charset="-128"/>
              <a:ea typeface="ＭＳ Ｐ明朝" panose="02020600040205080304" pitchFamily="18" charset="-128"/>
            </a:rPr>
            <a:t>   </a:t>
          </a:r>
          <a:r>
            <a:rPr kumimoji="1" lang="en-US" altLang="ja-JP" sz="1000">
              <a:latin typeface="ＭＳ Ｐ明朝" panose="02020600040205080304" pitchFamily="18" charset="-128"/>
              <a:ea typeface="ＭＳ Ｐ明朝" panose="02020600040205080304" pitchFamily="18" charset="-128"/>
            </a:rPr>
            <a:t>08387-2-0029</a:t>
          </a:r>
        </a:p>
        <a:p>
          <a:endParaRPr kumimoji="1" lang="en-US" altLang="ja-JP" sz="1100"/>
        </a:p>
        <a:p>
          <a:pPr>
            <a:lnSpc>
              <a:spcPts val="1200"/>
            </a:lnSpc>
          </a:pPr>
          <a:endParaRPr kumimoji="1" lang="ja-JP" altLang="en-US" sz="1100"/>
        </a:p>
      </xdr:txBody>
    </xdr:sp>
    <xdr:clientData/>
  </xdr:twoCellAnchor>
  <xdr:twoCellAnchor>
    <xdr:from>
      <xdr:col>3</xdr:col>
      <xdr:colOff>457200</xdr:colOff>
      <xdr:row>2</xdr:row>
      <xdr:rowOff>238125</xdr:rowOff>
    </xdr:from>
    <xdr:to>
      <xdr:col>5</xdr:col>
      <xdr:colOff>1304925</xdr:colOff>
      <xdr:row>4</xdr:row>
      <xdr:rowOff>38100</xdr:rowOff>
    </xdr:to>
    <xdr:pic>
      <xdr:nvPicPr>
        <xdr:cNvPr id="5" name="図 25">
          <a:extLst>
            <a:ext uri="{FF2B5EF4-FFF2-40B4-BE49-F238E27FC236}">
              <a16:creationId xmlns:a16="http://schemas.microsoft.com/office/drawing/2014/main" id="{D0B62F8A-8A01-832B-CF3B-A54573015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885825"/>
          <a:ext cx="24288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647700</xdr:colOff>
      <xdr:row>5</xdr:row>
      <xdr:rowOff>190500</xdr:rowOff>
    </xdr:from>
    <xdr:to>
      <xdr:col>5</xdr:col>
      <xdr:colOff>1333500</xdr:colOff>
      <xdr:row>8</xdr:row>
      <xdr:rowOff>152400</xdr:rowOff>
    </xdr:to>
    <xdr:pic>
      <xdr:nvPicPr>
        <xdr:cNvPr id="6" name="図 3">
          <a:extLst>
            <a:ext uri="{FF2B5EF4-FFF2-40B4-BE49-F238E27FC236}">
              <a16:creationId xmlns:a16="http://schemas.microsoft.com/office/drawing/2014/main" id="{92AD103B-918A-79A0-F812-504AADFBE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1638300"/>
          <a:ext cx="6858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A5AD-B9D2-47EC-9E00-390109CEDAD1}">
  <dimension ref="A1:F38"/>
  <sheetViews>
    <sheetView showZeros="0" tabSelected="1" zoomScaleNormal="100" workbookViewId="0">
      <selection activeCell="I13" sqref="I13"/>
    </sheetView>
  </sheetViews>
  <sheetFormatPr defaultRowHeight="13.5" x14ac:dyDescent="0.15"/>
  <cols>
    <col min="1" max="1" width="19.125" style="25" customWidth="1"/>
    <col min="2" max="2" width="18.125" style="25" customWidth="1"/>
    <col min="3" max="4" width="8.625" style="25" customWidth="1"/>
    <col min="5" max="5" width="12.125" style="25" customWidth="1"/>
    <col min="6" max="6" width="17.75" style="25" customWidth="1"/>
    <col min="7" max="16384" width="9" style="25"/>
  </cols>
  <sheetData>
    <row r="1" spans="1:6" ht="30" customHeight="1" thickTop="1" thickBot="1" x14ac:dyDescent="0.2">
      <c r="B1" s="1" t="s">
        <v>0</v>
      </c>
      <c r="C1" s="26"/>
      <c r="D1" s="26"/>
      <c r="E1" s="26"/>
    </row>
    <row r="2" spans="1:6" ht="21" customHeight="1" thickTop="1" x14ac:dyDescent="0.15">
      <c r="F2" s="27">
        <f ca="1">TODAY()</f>
        <v>46105</v>
      </c>
    </row>
    <row r="3" spans="1:6" ht="21" customHeight="1" x14ac:dyDescent="0.2">
      <c r="A3" s="28" t="s">
        <v>1</v>
      </c>
      <c r="B3" s="28"/>
    </row>
    <row r="4" spans="1:6" ht="21" customHeight="1" x14ac:dyDescent="0.15">
      <c r="A4" s="29" t="s">
        <v>2</v>
      </c>
      <c r="B4" s="29"/>
    </row>
    <row r="5" spans="1:6" ht="21" customHeight="1" x14ac:dyDescent="0.2">
      <c r="A5" s="30" t="s">
        <v>3</v>
      </c>
      <c r="B5" s="31"/>
      <c r="E5" s="2"/>
    </row>
    <row r="6" spans="1:6" ht="18" customHeight="1" x14ac:dyDescent="0.15">
      <c r="A6" s="3" t="s">
        <v>4</v>
      </c>
      <c r="B6" s="32" t="s">
        <v>5</v>
      </c>
    </row>
    <row r="7" spans="1:6" ht="18" customHeight="1" x14ac:dyDescent="0.15">
      <c r="A7" s="3" t="s">
        <v>6</v>
      </c>
      <c r="B7" s="32" t="s">
        <v>7</v>
      </c>
    </row>
    <row r="8" spans="1:6" ht="18" customHeight="1" x14ac:dyDescent="0.15">
      <c r="A8" s="3" t="s">
        <v>8</v>
      </c>
      <c r="B8" s="32" t="s">
        <v>9</v>
      </c>
    </row>
    <row r="9" spans="1:6" ht="18" customHeight="1" x14ac:dyDescent="0.15">
      <c r="A9" s="3" t="s">
        <v>10</v>
      </c>
      <c r="B9" s="32" t="s">
        <v>11</v>
      </c>
    </row>
    <row r="10" spans="1:6" ht="18" customHeight="1" x14ac:dyDescent="0.15"/>
    <row r="11" spans="1:6" ht="18" customHeight="1" x14ac:dyDescent="0.15">
      <c r="A11" s="25" t="s">
        <v>12</v>
      </c>
    </row>
    <row r="12" spans="1:6" ht="21" customHeight="1" x14ac:dyDescent="0.15"/>
    <row r="13" spans="1:6" ht="21" customHeight="1" x14ac:dyDescent="0.25">
      <c r="A13" s="4" t="s">
        <v>13</v>
      </c>
      <c r="B13" s="5">
        <f>$F$34</f>
        <v>303600</v>
      </c>
      <c r="F13" s="33" t="s">
        <v>14</v>
      </c>
    </row>
    <row r="14" spans="1:6" ht="21" customHeight="1" x14ac:dyDescent="0.15"/>
    <row r="15" spans="1:6" ht="21" customHeight="1" x14ac:dyDescent="0.15">
      <c r="A15" s="13" t="s">
        <v>15</v>
      </c>
      <c r="B15" s="14"/>
      <c r="C15" s="15"/>
      <c r="D15" s="34" t="s">
        <v>16</v>
      </c>
      <c r="E15" s="35" t="s">
        <v>17</v>
      </c>
      <c r="F15" s="34" t="s">
        <v>18</v>
      </c>
    </row>
    <row r="16" spans="1:6" ht="21" customHeight="1" x14ac:dyDescent="0.15">
      <c r="A16" s="36" t="s">
        <v>19</v>
      </c>
      <c r="B16" s="37"/>
      <c r="C16" s="38"/>
      <c r="D16" s="6">
        <v>1</v>
      </c>
      <c r="E16" s="7"/>
      <c r="F16" s="8">
        <f>E16*D16</f>
        <v>0</v>
      </c>
    </row>
    <row r="17" spans="1:6" ht="21" customHeight="1" x14ac:dyDescent="0.15">
      <c r="A17" s="39" t="s">
        <v>20</v>
      </c>
      <c r="B17" s="40"/>
      <c r="C17" s="41"/>
      <c r="D17" s="6"/>
      <c r="E17" s="9"/>
      <c r="F17" s="8">
        <f>SUM(D17*E17)</f>
        <v>0</v>
      </c>
    </row>
    <row r="18" spans="1:6" ht="21" customHeight="1" x14ac:dyDescent="0.15">
      <c r="A18" s="39" t="s">
        <v>21</v>
      </c>
      <c r="B18" s="40"/>
      <c r="C18" s="41"/>
      <c r="D18" s="6"/>
      <c r="E18" s="9">
        <v>180000</v>
      </c>
      <c r="F18" s="8">
        <f>E18</f>
        <v>180000</v>
      </c>
    </row>
    <row r="19" spans="1:6" ht="21" customHeight="1" x14ac:dyDescent="0.15">
      <c r="A19" s="39" t="s">
        <v>22</v>
      </c>
      <c r="B19" s="40"/>
      <c r="C19" s="41"/>
      <c r="D19" s="6"/>
      <c r="E19" s="9"/>
      <c r="F19" s="8">
        <f>E19</f>
        <v>0</v>
      </c>
    </row>
    <row r="20" spans="1:6" ht="21" customHeight="1" x14ac:dyDescent="0.15">
      <c r="A20" s="39" t="s">
        <v>23</v>
      </c>
      <c r="B20" s="40"/>
      <c r="C20" s="41"/>
      <c r="D20" s="6"/>
      <c r="E20" s="9">
        <v>60000</v>
      </c>
      <c r="F20" s="8">
        <f>E20</f>
        <v>60000</v>
      </c>
    </row>
    <row r="21" spans="1:6" ht="21" customHeight="1" x14ac:dyDescent="0.15">
      <c r="A21" s="39" t="s">
        <v>24</v>
      </c>
      <c r="B21" s="40"/>
      <c r="C21" s="41"/>
      <c r="D21" s="6"/>
      <c r="E21" s="9">
        <v>36000</v>
      </c>
      <c r="F21" s="8">
        <f t="shared" ref="F21:F31" si="0">E21</f>
        <v>36000</v>
      </c>
    </row>
    <row r="22" spans="1:6" ht="21" customHeight="1" x14ac:dyDescent="0.15">
      <c r="A22" s="39"/>
      <c r="B22" s="40"/>
      <c r="C22" s="41"/>
      <c r="D22" s="6"/>
      <c r="E22" s="9"/>
      <c r="F22" s="8">
        <f t="shared" si="0"/>
        <v>0</v>
      </c>
    </row>
    <row r="23" spans="1:6" ht="21" customHeight="1" x14ac:dyDescent="0.15">
      <c r="A23" s="39"/>
      <c r="B23" s="40"/>
      <c r="C23" s="41"/>
      <c r="D23" s="6"/>
      <c r="E23" s="9"/>
      <c r="F23" s="8">
        <f t="shared" si="0"/>
        <v>0</v>
      </c>
    </row>
    <row r="24" spans="1:6" ht="21" customHeight="1" x14ac:dyDescent="0.15">
      <c r="A24" s="39"/>
      <c r="B24" s="40"/>
      <c r="C24" s="41"/>
      <c r="D24" s="6"/>
      <c r="E24" s="9"/>
      <c r="F24" s="8">
        <f t="shared" si="0"/>
        <v>0</v>
      </c>
    </row>
    <row r="25" spans="1:6" ht="21" customHeight="1" x14ac:dyDescent="0.15">
      <c r="A25" s="39"/>
      <c r="B25" s="40"/>
      <c r="C25" s="41"/>
      <c r="D25" s="6"/>
      <c r="E25" s="9"/>
      <c r="F25" s="8">
        <f t="shared" si="0"/>
        <v>0</v>
      </c>
    </row>
    <row r="26" spans="1:6" ht="21" customHeight="1" x14ac:dyDescent="0.15">
      <c r="A26" s="39"/>
      <c r="B26" s="40"/>
      <c r="C26" s="41"/>
      <c r="D26" s="6"/>
      <c r="E26" s="9"/>
      <c r="F26" s="8">
        <f t="shared" si="0"/>
        <v>0</v>
      </c>
    </row>
    <row r="27" spans="1:6" ht="21" customHeight="1" x14ac:dyDescent="0.15">
      <c r="A27" s="39"/>
      <c r="B27" s="40"/>
      <c r="C27" s="41"/>
      <c r="D27" s="6"/>
      <c r="E27" s="9"/>
      <c r="F27" s="8">
        <f t="shared" si="0"/>
        <v>0</v>
      </c>
    </row>
    <row r="28" spans="1:6" ht="21" customHeight="1" x14ac:dyDescent="0.15">
      <c r="A28" s="39"/>
      <c r="B28" s="40"/>
      <c r="C28" s="41"/>
      <c r="D28" s="6"/>
      <c r="E28" s="9"/>
      <c r="F28" s="8">
        <f t="shared" si="0"/>
        <v>0</v>
      </c>
    </row>
    <row r="29" spans="1:6" ht="21" customHeight="1" x14ac:dyDescent="0.15">
      <c r="A29" s="39"/>
      <c r="B29" s="40"/>
      <c r="C29" s="41"/>
      <c r="D29" s="6"/>
      <c r="E29" s="9"/>
      <c r="F29" s="8">
        <f t="shared" si="0"/>
        <v>0</v>
      </c>
    </row>
    <row r="30" spans="1:6" ht="21" customHeight="1" x14ac:dyDescent="0.15">
      <c r="A30" s="39"/>
      <c r="B30" s="40"/>
      <c r="C30" s="41"/>
      <c r="D30" s="6"/>
      <c r="E30" s="9"/>
      <c r="F30" s="8">
        <f t="shared" si="0"/>
        <v>0</v>
      </c>
    </row>
    <row r="31" spans="1:6" ht="21" customHeight="1" x14ac:dyDescent="0.15">
      <c r="A31" s="39"/>
      <c r="B31" s="40"/>
      <c r="C31" s="41"/>
      <c r="D31" s="6"/>
      <c r="E31" s="10"/>
      <c r="F31" s="8">
        <f t="shared" si="0"/>
        <v>0</v>
      </c>
    </row>
    <row r="32" spans="1:6" ht="21" customHeight="1" x14ac:dyDescent="0.15">
      <c r="A32" s="11"/>
      <c r="B32" s="12"/>
      <c r="C32" s="13" t="s">
        <v>25</v>
      </c>
      <c r="D32" s="14"/>
      <c r="E32" s="15"/>
      <c r="F32" s="16">
        <f>SUM(F16:F31)</f>
        <v>276000</v>
      </c>
    </row>
    <row r="33" spans="1:6" ht="21" customHeight="1" x14ac:dyDescent="0.15">
      <c r="A33" s="17"/>
      <c r="B33" s="18"/>
      <c r="C33" s="13" t="s">
        <v>26</v>
      </c>
      <c r="D33" s="14"/>
      <c r="E33" s="15"/>
      <c r="F33" s="19">
        <f>SUM(F32*0.1)</f>
        <v>27600</v>
      </c>
    </row>
    <row r="34" spans="1:6" ht="21" customHeight="1" x14ac:dyDescent="0.15">
      <c r="A34" s="20"/>
      <c r="B34" s="21"/>
      <c r="C34" s="13" t="s">
        <v>27</v>
      </c>
      <c r="D34" s="14"/>
      <c r="E34" s="15"/>
      <c r="F34" s="16">
        <f>SUM(F32:F33)</f>
        <v>303600</v>
      </c>
    </row>
    <row r="35" spans="1:6" ht="18" customHeight="1" x14ac:dyDescent="0.15">
      <c r="A35" s="22" t="s">
        <v>28</v>
      </c>
      <c r="B35" s="42"/>
      <c r="C35" s="42"/>
      <c r="D35" s="42"/>
      <c r="E35" s="42"/>
      <c r="F35" s="43"/>
    </row>
    <row r="36" spans="1:6" ht="18" customHeight="1" x14ac:dyDescent="0.15">
      <c r="A36" s="44" t="s">
        <v>29</v>
      </c>
      <c r="B36" s="45"/>
      <c r="C36" s="45"/>
      <c r="D36" s="45"/>
      <c r="E36" s="45"/>
      <c r="F36" s="46"/>
    </row>
    <row r="37" spans="1:6" ht="18" customHeight="1" x14ac:dyDescent="0.15">
      <c r="A37" s="47" t="s">
        <v>30</v>
      </c>
      <c r="B37" s="23"/>
      <c r="C37" s="23"/>
      <c r="D37" s="23"/>
      <c r="E37" s="23"/>
      <c r="F37" s="24"/>
    </row>
    <row r="38" spans="1:6" ht="18" customHeight="1" x14ac:dyDescent="0.15">
      <c r="A38" s="48" t="s">
        <v>31</v>
      </c>
      <c r="B38" s="49"/>
      <c r="C38" s="49"/>
      <c r="D38" s="49"/>
      <c r="E38" s="49"/>
      <c r="F38" s="50"/>
    </row>
  </sheetData>
  <mergeCells count="24">
    <mergeCell ref="A31:C31"/>
    <mergeCell ref="C32:E32"/>
    <mergeCell ref="C33:E33"/>
    <mergeCell ref="C34:E34"/>
    <mergeCell ref="A37:F37"/>
    <mergeCell ref="A38:F38"/>
    <mergeCell ref="A25:C25"/>
    <mergeCell ref="A26:C26"/>
    <mergeCell ref="A27:C27"/>
    <mergeCell ref="A28:C28"/>
    <mergeCell ref="A29:C29"/>
    <mergeCell ref="A30:C30"/>
    <mergeCell ref="A19:C19"/>
    <mergeCell ref="A20:C20"/>
    <mergeCell ref="A21:C21"/>
    <mergeCell ref="A22:C22"/>
    <mergeCell ref="A23:C23"/>
    <mergeCell ref="A24:C24"/>
    <mergeCell ref="B1:E1"/>
    <mergeCell ref="A3:B3"/>
    <mergeCell ref="A15:C15"/>
    <mergeCell ref="A16:C16"/>
    <mergeCell ref="A17:C17"/>
    <mergeCell ref="A18:C18"/>
  </mergeCells>
  <phoneticPr fontId="2"/>
  <conditionalFormatting sqref="A16:A31 D16:F31">
    <cfRule type="expression" dxfId="0" priority="1" stopIfTrue="1">
      <formula>MOD(ROW(),2)=0</formula>
    </cfRule>
  </conditionalFormatting>
  <pageMargins left="0.70866141732283472" right="0.70866141732283472" top="0.74803149606299213" bottom="0.74803149606299213" header="0.31496062992125984" footer="0.31496062992125984"/>
  <pageSetup paperSize="9" scale="9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インフォメーションセンター データロジック</dc:creator>
  <cp:lastModifiedBy>インフォメーションセンター データロジック</cp:lastModifiedBy>
  <dcterms:created xsi:type="dcterms:W3CDTF">2026-03-24T01:02:29Z</dcterms:created>
  <dcterms:modified xsi:type="dcterms:W3CDTF">2026-03-24T01:07:49Z</dcterms:modified>
</cp:coreProperties>
</file>